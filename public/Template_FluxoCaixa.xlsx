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engit-my.sharepoint.com/personal/fabio_baptista_engdb_com_br1/Documents/Clientes/Vivo/POC e-commerce/POC 12_nov/"/>
    </mc:Choice>
  </mc:AlternateContent>
  <xr:revisionPtr revIDLastSave="0" documentId="8_{DDF6AF1A-3EA1-40F3-87D6-7AB7A1C04B50}" xr6:coauthVersionLast="47" xr6:coauthVersionMax="47" xr10:uidLastSave="{00000000-0000-0000-0000-000000000000}"/>
  <bookViews>
    <workbookView xWindow="-110" yWindow="-110" windowWidth="19420" windowHeight="10300" xr2:uid="{36A00083-4A83-4213-872A-6C01D1CC6974}"/>
  </bookViews>
  <sheets>
    <sheet name="FC" sheetId="5" r:id="rId1"/>
  </sheets>
  <externalReferences>
    <externalReference r:id="rId2"/>
  </externalReferences>
  <definedNames>
    <definedName name="Inad">[1]PARÂMETROS!$C$19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31" i="5" l="1"/>
  <c r="CG34" i="5"/>
  <c r="B3" i="5"/>
  <c r="C39" i="5"/>
  <c r="B4" i="5" l="1"/>
  <c r="I24" i="5"/>
  <c r="H24" i="5"/>
  <c r="G24" i="5"/>
  <c r="F24" i="5"/>
  <c r="E24" i="5"/>
  <c r="D24" i="5"/>
  <c r="C24" i="5"/>
  <c r="J22" i="5"/>
  <c r="K22" i="5" s="1"/>
  <c r="K24" i="5" s="1"/>
  <c r="B17" i="5"/>
  <c r="C28" i="5" s="1"/>
  <c r="CG28" i="5" s="1"/>
  <c r="D25" i="5"/>
  <c r="E23" i="5"/>
  <c r="E25" i="5" s="1"/>
  <c r="J24" i="5" l="1"/>
  <c r="I34" i="5" a="1"/>
  <c r="I34" i="5" s="1"/>
  <c r="G41" i="5"/>
  <c r="H41" i="5"/>
  <c r="I41" i="5"/>
  <c r="F41" i="5"/>
  <c r="E41" i="5"/>
  <c r="D41" i="5"/>
  <c r="C41" i="5"/>
  <c r="J41" i="5"/>
  <c r="K41" i="5"/>
  <c r="L22" i="5"/>
  <c r="L24" i="5" s="1"/>
  <c r="D34" i="5" a="1"/>
  <c r="D34" i="5" s="1"/>
  <c r="G34" i="5" a="1"/>
  <c r="G34" i="5" s="1"/>
  <c r="F23" i="5"/>
  <c r="L41" i="5" l="1"/>
  <c r="E34" i="5" a="1"/>
  <c r="E34" i="5" s="1"/>
  <c r="H34" i="5" a="1"/>
  <c r="H34" i="5" s="1"/>
  <c r="K34" i="5" a="1"/>
  <c r="K34" i="5" s="1"/>
  <c r="J34" i="5" a="1"/>
  <c r="J34" i="5" s="1"/>
  <c r="F34" i="5" a="1"/>
  <c r="F34" i="5" s="1"/>
  <c r="M22" i="5"/>
  <c r="M24" i="5" s="1"/>
  <c r="L34" i="5" a="1"/>
  <c r="L34" i="5" s="1"/>
  <c r="F25" i="5"/>
  <c r="G23" i="5"/>
  <c r="C26" i="5" l="1"/>
  <c r="C27" i="5" s="1"/>
  <c r="M34" i="5" a="1"/>
  <c r="M34" i="5" s="1"/>
  <c r="N22" i="5"/>
  <c r="N24" i="5" s="1"/>
  <c r="M41" i="5"/>
  <c r="H23" i="5"/>
  <c r="G25" i="5"/>
  <c r="C29" i="5" l="1"/>
  <c r="D26" i="5"/>
  <c r="N34" i="5" a="1"/>
  <c r="N34" i="5" s="1"/>
  <c r="O22" i="5"/>
  <c r="O24" i="5" s="1"/>
  <c r="N41" i="5"/>
  <c r="I23" i="5"/>
  <c r="J23" i="5" s="1"/>
  <c r="H25" i="5"/>
  <c r="E26" i="5" s="1"/>
  <c r="E27" i="5" s="1"/>
  <c r="E29" i="5" l="1"/>
  <c r="E30" i="5" s="1"/>
  <c r="D27" i="5"/>
  <c r="C30" i="5"/>
  <c r="J25" i="5"/>
  <c r="K23" i="5"/>
  <c r="O34" i="5" a="1"/>
  <c r="O34" i="5" s="1"/>
  <c r="P22" i="5"/>
  <c r="P24" i="5" s="1"/>
  <c r="O41" i="5"/>
  <c r="I25" i="5"/>
  <c r="F26" i="5" s="1"/>
  <c r="F27" i="5" s="1"/>
  <c r="F29" i="5" s="1"/>
  <c r="F30" i="5" s="1"/>
  <c r="F32" i="5" s="1"/>
  <c r="E32" i="5" l="1"/>
  <c r="E33" i="5" s="1"/>
  <c r="C32" i="5"/>
  <c r="D29" i="5"/>
  <c r="G26" i="5"/>
  <c r="G27" i="5" s="1"/>
  <c r="G29" i="5" s="1"/>
  <c r="G30" i="5" s="1"/>
  <c r="G32" i="5" s="1"/>
  <c r="F33" i="5"/>
  <c r="F35" i="5"/>
  <c r="P41" i="5"/>
  <c r="Q22" i="5"/>
  <c r="Q24" i="5" s="1"/>
  <c r="P34" i="5" a="1"/>
  <c r="P34" i="5" s="1"/>
  <c r="L23" i="5"/>
  <c r="K25" i="5"/>
  <c r="H26" i="5" s="1"/>
  <c r="H27" i="5" s="1"/>
  <c r="H29" i="5" s="1"/>
  <c r="E35" i="5" l="1"/>
  <c r="E36" i="5" s="1"/>
  <c r="E37" i="5" s="1"/>
  <c r="E40" i="5" s="1"/>
  <c r="E42" i="5" s="1"/>
  <c r="C33" i="5"/>
  <c r="C35" i="5"/>
  <c r="D30" i="5"/>
  <c r="H30" i="5"/>
  <c r="H32" i="5" s="1"/>
  <c r="G33" i="5"/>
  <c r="G35" i="5"/>
  <c r="F36" i="5"/>
  <c r="F37" i="5" s="1"/>
  <c r="L25" i="5"/>
  <c r="I26" i="5" s="1"/>
  <c r="I27" i="5" s="1"/>
  <c r="I29" i="5" s="1"/>
  <c r="M23" i="5"/>
  <c r="R22" i="5"/>
  <c r="R24" i="5" s="1"/>
  <c r="Q34" i="5" a="1"/>
  <c r="Q34" i="5" s="1"/>
  <c r="Q41" i="5"/>
  <c r="E38" i="5" l="1"/>
  <c r="D32" i="5"/>
  <c r="C36" i="5"/>
  <c r="I30" i="5"/>
  <c r="I32" i="5" s="1"/>
  <c r="F40" i="5"/>
  <c r="F42" i="5" s="1"/>
  <c r="F38" i="5"/>
  <c r="H33" i="5"/>
  <c r="H35" i="5"/>
  <c r="G36" i="5"/>
  <c r="G37" i="5" s="1"/>
  <c r="S22" i="5"/>
  <c r="S24" i="5" s="1"/>
  <c r="R34" i="5" a="1"/>
  <c r="R34" i="5" s="1"/>
  <c r="R41" i="5"/>
  <c r="N23" i="5"/>
  <c r="M25" i="5"/>
  <c r="J26" i="5" s="1"/>
  <c r="J27" i="5" s="1"/>
  <c r="C37" i="5" l="1"/>
  <c r="D35" i="5"/>
  <c r="D33" i="5"/>
  <c r="J29" i="5"/>
  <c r="G38" i="5"/>
  <c r="G40" i="5"/>
  <c r="G42" i="5" s="1"/>
  <c r="H36" i="5"/>
  <c r="H37" i="5" s="1"/>
  <c r="I33" i="5"/>
  <c r="I35" i="5"/>
  <c r="N25" i="5"/>
  <c r="K26" i="5" s="1"/>
  <c r="K27" i="5" s="1"/>
  <c r="O23" i="5"/>
  <c r="T22" i="5"/>
  <c r="T24" i="5" s="1"/>
  <c r="S34" i="5" a="1"/>
  <c r="S34" i="5" s="1"/>
  <c r="S41" i="5"/>
  <c r="C38" i="5" l="1"/>
  <c r="C40" i="5"/>
  <c r="C42" i="5" s="1"/>
  <c r="J30" i="5"/>
  <c r="D36" i="5"/>
  <c r="K29" i="5"/>
  <c r="K30" i="5" s="1"/>
  <c r="K32" i="5" s="1"/>
  <c r="I36" i="5"/>
  <c r="I37" i="5" s="1"/>
  <c r="H40" i="5"/>
  <c r="H38" i="5"/>
  <c r="U22" i="5"/>
  <c r="U24" i="5" s="1"/>
  <c r="T34" i="5" a="1"/>
  <c r="T34" i="5" s="1"/>
  <c r="T41" i="5"/>
  <c r="P23" i="5"/>
  <c r="O25" i="5"/>
  <c r="L26" i="5" s="1"/>
  <c r="L27" i="5" s="1"/>
  <c r="J32" i="5" l="1"/>
  <c r="C43" i="5"/>
  <c r="C44" i="5" s="1"/>
  <c r="D37" i="5"/>
  <c r="K33" i="5"/>
  <c r="K35" i="5"/>
  <c r="L29" i="5"/>
  <c r="L30" i="5" s="1"/>
  <c r="L32" i="5" s="1"/>
  <c r="H42" i="5"/>
  <c r="I38" i="5"/>
  <c r="I40" i="5"/>
  <c r="I42" i="5" s="1"/>
  <c r="Q23" i="5"/>
  <c r="P25" i="5"/>
  <c r="M26" i="5" s="1"/>
  <c r="M27" i="5" s="1"/>
  <c r="V22" i="5"/>
  <c r="V24" i="5" s="1"/>
  <c r="U41" i="5"/>
  <c r="U34" i="5" a="1"/>
  <c r="U34" i="5" s="1"/>
  <c r="D38" i="5" l="1"/>
  <c r="D40" i="5"/>
  <c r="D42" i="5" s="1"/>
  <c r="I43" i="5" s="1"/>
  <c r="I44" i="5" s="1"/>
  <c r="J33" i="5"/>
  <c r="J35" i="5"/>
  <c r="M29" i="5"/>
  <c r="M30" i="5" s="1"/>
  <c r="M32" i="5" s="1"/>
  <c r="K36" i="5"/>
  <c r="K37" i="5" s="1"/>
  <c r="V34" i="5" a="1"/>
  <c r="V34" i="5" s="1"/>
  <c r="V41" i="5"/>
  <c r="W22" i="5"/>
  <c r="W24" i="5" s="1"/>
  <c r="Q25" i="5"/>
  <c r="N26" i="5" s="1"/>
  <c r="N27" i="5" s="1"/>
  <c r="R23" i="5"/>
  <c r="H43" i="5" l="1"/>
  <c r="H44" i="5" s="1"/>
  <c r="B10" i="5"/>
  <c r="B11" i="5" s="1"/>
  <c r="J36" i="5"/>
  <c r="G43" i="5"/>
  <c r="G44" i="5" s="1"/>
  <c r="D43" i="5"/>
  <c r="D44" i="5" s="1"/>
  <c r="E43" i="5"/>
  <c r="E44" i="5" s="1"/>
  <c r="F43" i="5"/>
  <c r="F44" i="5" s="1"/>
  <c r="K40" i="5"/>
  <c r="K42" i="5" s="1"/>
  <c r="K38" i="5"/>
  <c r="L33" i="5"/>
  <c r="L35" i="5"/>
  <c r="N29" i="5"/>
  <c r="N30" i="5" s="1"/>
  <c r="N32" i="5" s="1"/>
  <c r="W34" i="5" a="1"/>
  <c r="W34" i="5" s="1"/>
  <c r="X22" i="5"/>
  <c r="X24" i="5" s="1"/>
  <c r="W41" i="5"/>
  <c r="S23" i="5"/>
  <c r="R25" i="5"/>
  <c r="O26" i="5" s="1"/>
  <c r="O27" i="5" s="1"/>
  <c r="J37" i="5" l="1"/>
  <c r="M33" i="5"/>
  <c r="M35" i="5"/>
  <c r="O29" i="5"/>
  <c r="O30" i="5" s="1"/>
  <c r="O32" i="5" s="1"/>
  <c r="N33" i="5"/>
  <c r="N35" i="5"/>
  <c r="N36" i="5" s="1"/>
  <c r="N37" i="5" s="1"/>
  <c r="N40" i="5" s="1"/>
  <c r="N42" i="5" s="1"/>
  <c r="L36" i="5"/>
  <c r="L37" i="5" s="1"/>
  <c r="S25" i="5"/>
  <c r="P26" i="5" s="1"/>
  <c r="P27" i="5" s="1"/>
  <c r="T23" i="5"/>
  <c r="X34" i="5" a="1"/>
  <c r="X34" i="5" s="1"/>
  <c r="Y22" i="5"/>
  <c r="Y24" i="5" s="1"/>
  <c r="X41" i="5"/>
  <c r="J40" i="5" l="1"/>
  <c r="J42" i="5" s="1"/>
  <c r="J38" i="5"/>
  <c r="N38" i="5"/>
  <c r="L38" i="5"/>
  <c r="L40" i="5"/>
  <c r="L42" i="5" s="1"/>
  <c r="O33" i="5"/>
  <c r="O35" i="5"/>
  <c r="O36" i="5" s="1"/>
  <c r="O37" i="5" s="1"/>
  <c r="O38" i="5" s="1"/>
  <c r="M36" i="5"/>
  <c r="M37" i="5" s="1"/>
  <c r="P29" i="5"/>
  <c r="P30" i="5" s="1"/>
  <c r="P32" i="5" s="1"/>
  <c r="Y41" i="5"/>
  <c r="Z22" i="5"/>
  <c r="Z24" i="5" s="1"/>
  <c r="Y34" i="5" a="1"/>
  <c r="Y34" i="5" s="1"/>
  <c r="T25" i="5"/>
  <c r="Q26" i="5" s="1"/>
  <c r="Q27" i="5" s="1"/>
  <c r="U23" i="5"/>
  <c r="L43" i="5" l="1"/>
  <c r="L44" i="5" s="1"/>
  <c r="J43" i="5"/>
  <c r="J44" i="5" s="1"/>
  <c r="K43" i="5"/>
  <c r="K44" i="5" s="1"/>
  <c r="O40" i="5"/>
  <c r="O42" i="5" s="1"/>
  <c r="M40" i="5"/>
  <c r="M42" i="5" s="1"/>
  <c r="M43" i="5" s="1"/>
  <c r="M44" i="5" s="1"/>
  <c r="M38" i="5"/>
  <c r="Q29" i="5"/>
  <c r="Q30" i="5" s="1"/>
  <c r="Q32" i="5" s="1"/>
  <c r="V23" i="5"/>
  <c r="U25" i="5"/>
  <c r="R26" i="5" s="1"/>
  <c r="R27" i="5" s="1"/>
  <c r="AA22" i="5"/>
  <c r="AA24" i="5" s="1"/>
  <c r="Z41" i="5"/>
  <c r="Z34" i="5" a="1"/>
  <c r="Z34" i="5" s="1"/>
  <c r="O43" i="5" l="1"/>
  <c r="O44" i="5" s="1"/>
  <c r="N43" i="5"/>
  <c r="N44" i="5" s="1"/>
  <c r="P33" i="5"/>
  <c r="P35" i="5"/>
  <c r="P36" i="5" s="1"/>
  <c r="P37" i="5" s="1"/>
  <c r="R29" i="5"/>
  <c r="R30" i="5" s="1"/>
  <c r="R32" i="5" s="1"/>
  <c r="AA34" i="5" a="1"/>
  <c r="AA34" i="5" s="1"/>
  <c r="AA41" i="5"/>
  <c r="AB22" i="5"/>
  <c r="AB24" i="5" s="1"/>
  <c r="V25" i="5"/>
  <c r="S26" i="5" s="1"/>
  <c r="S27" i="5" s="1"/>
  <c r="W23" i="5"/>
  <c r="Q33" i="5" l="1"/>
  <c r="Q35" i="5"/>
  <c r="Q36" i="5" s="1"/>
  <c r="Q37" i="5" s="1"/>
  <c r="S29" i="5"/>
  <c r="S30" i="5" s="1"/>
  <c r="S32" i="5" s="1"/>
  <c r="P40" i="5"/>
  <c r="P42" i="5" s="1"/>
  <c r="P43" i="5" s="1"/>
  <c r="P44" i="5" s="1"/>
  <c r="P38" i="5"/>
  <c r="X23" i="5"/>
  <c r="W25" i="5"/>
  <c r="T26" i="5" s="1"/>
  <c r="T27" i="5" s="1"/>
  <c r="AC22" i="5"/>
  <c r="AC24" i="5" s="1"/>
  <c r="AB34" i="5" a="1"/>
  <c r="AB34" i="5" s="1"/>
  <c r="AB41" i="5"/>
  <c r="Q40" i="5" l="1"/>
  <c r="Q42" i="5" s="1"/>
  <c r="Q43" i="5" s="1"/>
  <c r="Q44" i="5" s="1"/>
  <c r="Q38" i="5"/>
  <c r="R35" i="5"/>
  <c r="R33" i="5"/>
  <c r="T29" i="5"/>
  <c r="T30" i="5" s="1"/>
  <c r="T32" i="5" s="1"/>
  <c r="AC34" i="5" a="1"/>
  <c r="AC34" i="5" s="1"/>
  <c r="AC41" i="5"/>
  <c r="AD22" i="5"/>
  <c r="AD24" i="5" s="1"/>
  <c r="X25" i="5"/>
  <c r="U26" i="5" s="1"/>
  <c r="U27" i="5" s="1"/>
  <c r="Y23" i="5"/>
  <c r="U29" i="5" l="1"/>
  <c r="U30" i="5" s="1"/>
  <c r="U32" i="5" s="1"/>
  <c r="R36" i="5"/>
  <c r="R37" i="5" s="1"/>
  <c r="S35" i="5"/>
  <c r="S33" i="5"/>
  <c r="Z23" i="5"/>
  <c r="Y25" i="5"/>
  <c r="V26" i="5" s="1"/>
  <c r="V27" i="5" s="1"/>
  <c r="AE22" i="5"/>
  <c r="AE24" i="5" s="1"/>
  <c r="AD34" i="5" a="1"/>
  <c r="AD34" i="5" s="1"/>
  <c r="AD41" i="5"/>
  <c r="R40" i="5" l="1"/>
  <c r="R42" i="5" s="1"/>
  <c r="R43" i="5" s="1"/>
  <c r="R44" i="5" s="1"/>
  <c r="R38" i="5"/>
  <c r="S36" i="5"/>
  <c r="S37" i="5" s="1"/>
  <c r="T33" i="5"/>
  <c r="T35" i="5"/>
  <c r="V29" i="5"/>
  <c r="V30" i="5" s="1"/>
  <c r="V32" i="5" s="1"/>
  <c r="AE41" i="5"/>
  <c r="AF22" i="5"/>
  <c r="AF24" i="5" s="1"/>
  <c r="AE34" i="5" a="1"/>
  <c r="AE34" i="5" s="1"/>
  <c r="Z25" i="5"/>
  <c r="W26" i="5" s="1"/>
  <c r="W27" i="5" s="1"/>
  <c r="AA23" i="5"/>
  <c r="V33" i="5" l="1"/>
  <c r="V35" i="5"/>
  <c r="V36" i="5" s="1"/>
  <c r="V37" i="5" s="1"/>
  <c r="V40" i="5" s="1"/>
  <c r="V42" i="5" s="1"/>
  <c r="T36" i="5"/>
  <c r="T37" i="5" s="1"/>
  <c r="U33" i="5"/>
  <c r="U35" i="5"/>
  <c r="U36" i="5" s="1"/>
  <c r="U37" i="5" s="1"/>
  <c r="S38" i="5"/>
  <c r="S40" i="5"/>
  <c r="S42" i="5" s="1"/>
  <c r="S43" i="5" s="1"/>
  <c r="S44" i="5" s="1"/>
  <c r="W29" i="5"/>
  <c r="W30" i="5" s="1"/>
  <c r="W32" i="5" s="1"/>
  <c r="AA25" i="5"/>
  <c r="X26" i="5" s="1"/>
  <c r="X27" i="5" s="1"/>
  <c r="AB23" i="5"/>
  <c r="AG22" i="5"/>
  <c r="AG24" i="5" s="1"/>
  <c r="AF34" i="5" a="1"/>
  <c r="AF34" i="5" s="1"/>
  <c r="AF41" i="5"/>
  <c r="V38" i="5" l="1"/>
  <c r="U38" i="5"/>
  <c r="U40" i="5"/>
  <c r="U42" i="5" s="1"/>
  <c r="X29" i="5"/>
  <c r="X30" i="5" s="1"/>
  <c r="X32" i="5" s="1"/>
  <c r="T38" i="5"/>
  <c r="T40" i="5"/>
  <c r="T42" i="5" s="1"/>
  <c r="T43" i="5" s="1"/>
  <c r="T44" i="5" s="1"/>
  <c r="W35" i="5"/>
  <c r="W33" i="5"/>
  <c r="AH22" i="5"/>
  <c r="AH24" i="5" s="1"/>
  <c r="AG41" i="5"/>
  <c r="AG34" i="5" a="1"/>
  <c r="AG34" i="5" s="1"/>
  <c r="AB25" i="5"/>
  <c r="Y26" i="5" s="1"/>
  <c r="Y27" i="5" s="1"/>
  <c r="AC23" i="5"/>
  <c r="W36" i="5" l="1"/>
  <c r="W37" i="5" s="1"/>
  <c r="Y29" i="5"/>
  <c r="Y30" i="5" s="1"/>
  <c r="Y32" i="5" s="1"/>
  <c r="U43" i="5"/>
  <c r="U44" i="5" s="1"/>
  <c r="V43" i="5"/>
  <c r="V44" i="5" s="1"/>
  <c r="AD23" i="5"/>
  <c r="AC25" i="5"/>
  <c r="Z26" i="5" s="1"/>
  <c r="Z27" i="5" s="1"/>
  <c r="AH34" i="5" a="1"/>
  <c r="AH34" i="5" s="1"/>
  <c r="AH41" i="5"/>
  <c r="AI22" i="5"/>
  <c r="AI24" i="5" s="1"/>
  <c r="X33" i="5" l="1"/>
  <c r="X35" i="5"/>
  <c r="Y35" i="5"/>
  <c r="Y33" i="5"/>
  <c r="W40" i="5"/>
  <c r="W42" i="5" s="1"/>
  <c r="W43" i="5" s="1"/>
  <c r="W44" i="5" s="1"/>
  <c r="W38" i="5"/>
  <c r="Z29" i="5"/>
  <c r="Z30" i="5" s="1"/>
  <c r="Z32" i="5" s="1"/>
  <c r="AI41" i="5"/>
  <c r="AJ22" i="5"/>
  <c r="AJ24" i="5" s="1"/>
  <c r="AI34" i="5" a="1"/>
  <c r="AI34" i="5" s="1"/>
  <c r="AD25" i="5"/>
  <c r="AA26" i="5" s="1"/>
  <c r="AA27" i="5" s="1"/>
  <c r="AE23" i="5"/>
  <c r="Y36" i="5" l="1"/>
  <c r="Y37" i="5" s="1"/>
  <c r="Z33" i="5"/>
  <c r="Z35" i="5"/>
  <c r="Z36" i="5" s="1"/>
  <c r="Z37" i="5" s="1"/>
  <c r="Z40" i="5" s="1"/>
  <c r="Z42" i="5" s="1"/>
  <c r="AA29" i="5"/>
  <c r="AA30" i="5" s="1"/>
  <c r="AA32" i="5" s="1"/>
  <c r="X36" i="5"/>
  <c r="X37" i="5" s="1"/>
  <c r="AE25" i="5"/>
  <c r="AB26" i="5" s="1"/>
  <c r="AB27" i="5" s="1"/>
  <c r="AF23" i="5"/>
  <c r="AK22" i="5"/>
  <c r="AK24" i="5" s="1"/>
  <c r="AJ34" i="5" a="1"/>
  <c r="AJ34" i="5" s="1"/>
  <c r="AJ41" i="5"/>
  <c r="Z38" i="5" l="1"/>
  <c r="X38" i="5"/>
  <c r="X40" i="5"/>
  <c r="X42" i="5" s="1"/>
  <c r="X43" i="5" s="1"/>
  <c r="X44" i="5" s="1"/>
  <c r="Y40" i="5"/>
  <c r="Y42" i="5" s="1"/>
  <c r="Y38" i="5"/>
  <c r="AA33" i="5"/>
  <c r="AA35" i="5"/>
  <c r="AB29" i="5"/>
  <c r="AB30" i="5" s="1"/>
  <c r="AB32" i="5" s="1"/>
  <c r="AK34" i="5" a="1"/>
  <c r="AK34" i="5" s="1"/>
  <c r="AK41" i="5"/>
  <c r="AL22" i="5"/>
  <c r="AL24" i="5" s="1"/>
  <c r="AF25" i="5"/>
  <c r="AC26" i="5" s="1"/>
  <c r="AC27" i="5" s="1"/>
  <c r="AG23" i="5"/>
  <c r="Y43" i="5" l="1"/>
  <c r="Y44" i="5" s="1"/>
  <c r="AB33" i="5"/>
  <c r="AB35" i="5"/>
  <c r="AB36" i="5" s="1"/>
  <c r="AB37" i="5" s="1"/>
  <c r="AB40" i="5" s="1"/>
  <c r="AB42" i="5" s="1"/>
  <c r="AA36" i="5"/>
  <c r="AA37" i="5" s="1"/>
  <c r="AC29" i="5"/>
  <c r="AC30" i="5" s="1"/>
  <c r="AC32" i="5" s="1"/>
  <c r="Z43" i="5"/>
  <c r="Z44" i="5" s="1"/>
  <c r="AG25" i="5"/>
  <c r="AD26" i="5" s="1"/>
  <c r="AD27" i="5" s="1"/>
  <c r="AH23" i="5"/>
  <c r="AL34" i="5" a="1"/>
  <c r="AL34" i="5" s="1"/>
  <c r="AM22" i="5"/>
  <c r="AM24" i="5" s="1"/>
  <c r="AL41" i="5"/>
  <c r="AB38" i="5" l="1"/>
  <c r="AC35" i="5"/>
  <c r="AC36" i="5" s="1"/>
  <c r="AC37" i="5" s="1"/>
  <c r="AC40" i="5" s="1"/>
  <c r="AC42" i="5" s="1"/>
  <c r="AC33" i="5"/>
  <c r="AA38" i="5"/>
  <c r="AA40" i="5"/>
  <c r="AA42" i="5" s="1"/>
  <c r="AA43" i="5" s="1"/>
  <c r="AA44" i="5" s="1"/>
  <c r="AD29" i="5"/>
  <c r="AD30" i="5" s="1"/>
  <c r="AD32" i="5" s="1"/>
  <c r="AM41" i="5"/>
  <c r="AN22" i="5"/>
  <c r="AN24" i="5" s="1"/>
  <c r="AM34" i="5" a="1"/>
  <c r="AM34" i="5" s="1"/>
  <c r="AH25" i="5"/>
  <c r="AE26" i="5" s="1"/>
  <c r="AE27" i="5" s="1"/>
  <c r="AI23" i="5"/>
  <c r="AC43" i="5" l="1"/>
  <c r="AC44" i="5" s="1"/>
  <c r="AC38" i="5"/>
  <c r="AE29" i="5"/>
  <c r="AE30" i="5" s="1"/>
  <c r="AE32" i="5" s="1"/>
  <c r="AB43" i="5"/>
  <c r="AB44" i="5" s="1"/>
  <c r="AI25" i="5"/>
  <c r="AF26" i="5" s="1"/>
  <c r="AF27" i="5" s="1"/>
  <c r="AJ23" i="5"/>
  <c r="AN34" i="5" a="1"/>
  <c r="AN34" i="5" s="1"/>
  <c r="AN41" i="5"/>
  <c r="AO22" i="5"/>
  <c r="AO24" i="5" s="1"/>
  <c r="AD35" i="5" l="1"/>
  <c r="AD36" i="5" s="1"/>
  <c r="AD37" i="5" s="1"/>
  <c r="AD33" i="5"/>
  <c r="AF29" i="5"/>
  <c r="AF30" i="5" s="1"/>
  <c r="AF32" i="5" s="1"/>
  <c r="AO41" i="5"/>
  <c r="AP22" i="5"/>
  <c r="AP24" i="5" s="1"/>
  <c r="AO34" i="5" a="1"/>
  <c r="AO34" i="5" s="1"/>
  <c r="AK23" i="5"/>
  <c r="AJ25" i="5"/>
  <c r="AG26" i="5" s="1"/>
  <c r="AG27" i="5" s="1"/>
  <c r="AE35" i="5" l="1"/>
  <c r="AE33" i="5"/>
  <c r="AG29" i="5"/>
  <c r="AG30" i="5" s="1"/>
  <c r="AG32" i="5" s="1"/>
  <c r="AD40" i="5"/>
  <c r="AD42" i="5" s="1"/>
  <c r="AD43" i="5" s="1"/>
  <c r="AD44" i="5" s="1"/>
  <c r="AD38" i="5"/>
  <c r="AL23" i="5"/>
  <c r="AK25" i="5"/>
  <c r="AH26" i="5" s="1"/>
  <c r="AH27" i="5" s="1"/>
  <c r="AQ22" i="5"/>
  <c r="AQ24" i="5" s="1"/>
  <c r="AP41" i="5"/>
  <c r="AP34" i="5" a="1"/>
  <c r="AP34" i="5" s="1"/>
  <c r="AE36" i="5" l="1"/>
  <c r="AE37" i="5" s="1"/>
  <c r="AF33" i="5"/>
  <c r="AF35" i="5"/>
  <c r="AF36" i="5" s="1"/>
  <c r="AF37" i="5" s="1"/>
  <c r="AH29" i="5"/>
  <c r="AH30" i="5" s="1"/>
  <c r="AH32" i="5" s="1"/>
  <c r="AQ34" i="5" a="1"/>
  <c r="AQ34" i="5" s="1"/>
  <c r="AQ41" i="5"/>
  <c r="AR22" i="5"/>
  <c r="AR24" i="5" s="1"/>
  <c r="AM23" i="5"/>
  <c r="AL25" i="5"/>
  <c r="AI26" i="5" s="1"/>
  <c r="AI27" i="5" s="1"/>
  <c r="AH35" i="5" l="1"/>
  <c r="AH33" i="5"/>
  <c r="AF38" i="5"/>
  <c r="AF40" i="5"/>
  <c r="AF42" i="5" s="1"/>
  <c r="AE40" i="5"/>
  <c r="AE42" i="5" s="1"/>
  <c r="AE43" i="5" s="1"/>
  <c r="AE44" i="5" s="1"/>
  <c r="AE38" i="5"/>
  <c r="AI29" i="5"/>
  <c r="AI30" i="5" s="1"/>
  <c r="AI32" i="5" s="1"/>
  <c r="AG35" i="5"/>
  <c r="AG36" i="5" s="1"/>
  <c r="AG37" i="5" s="1"/>
  <c r="AG33" i="5"/>
  <c r="AN23" i="5"/>
  <c r="AM25" i="5"/>
  <c r="AJ26" i="5" s="1"/>
  <c r="AJ27" i="5" s="1"/>
  <c r="AS22" i="5"/>
  <c r="AS24" i="5" s="1"/>
  <c r="AR34" i="5" a="1"/>
  <c r="AR34" i="5" s="1"/>
  <c r="AR41" i="5"/>
  <c r="AG40" i="5" l="1"/>
  <c r="AG42" i="5" s="1"/>
  <c r="AG43" i="5" s="1"/>
  <c r="AG44" i="5" s="1"/>
  <c r="AG38" i="5"/>
  <c r="AF43" i="5"/>
  <c r="AF44" i="5" s="1"/>
  <c r="AH36" i="5"/>
  <c r="AH37" i="5" s="1"/>
  <c r="AJ29" i="5"/>
  <c r="AJ30" i="5" s="1"/>
  <c r="AJ32" i="5" s="1"/>
  <c r="AS34" i="5" a="1"/>
  <c r="AS34" i="5" s="1"/>
  <c r="AS41" i="5"/>
  <c r="AT22" i="5"/>
  <c r="AT24" i="5" s="1"/>
  <c r="AO23" i="5"/>
  <c r="AN25" i="5"/>
  <c r="AK26" i="5" s="1"/>
  <c r="AK27" i="5" s="1"/>
  <c r="AH38" i="5" l="1"/>
  <c r="AH40" i="5"/>
  <c r="AH42" i="5" s="1"/>
  <c r="AH43" i="5" s="1"/>
  <c r="AH44" i="5" s="1"/>
  <c r="AI35" i="5"/>
  <c r="AI36" i="5" s="1"/>
  <c r="AI37" i="5" s="1"/>
  <c r="AI33" i="5"/>
  <c r="AK29" i="5"/>
  <c r="AK30" i="5" s="1"/>
  <c r="AK32" i="5" s="1"/>
  <c r="AO25" i="5"/>
  <c r="AL26" i="5" s="1"/>
  <c r="AL27" i="5" s="1"/>
  <c r="AP23" i="5"/>
  <c r="AT34" i="5" a="1"/>
  <c r="AT34" i="5" s="1"/>
  <c r="AT41" i="5"/>
  <c r="AU22" i="5"/>
  <c r="AU24" i="5" s="1"/>
  <c r="AL29" i="5" l="1"/>
  <c r="AL30" i="5" s="1"/>
  <c r="AL32" i="5" s="1"/>
  <c r="AI38" i="5"/>
  <c r="AI40" i="5"/>
  <c r="AI42" i="5" s="1"/>
  <c r="AI43" i="5" s="1"/>
  <c r="AI44" i="5" s="1"/>
  <c r="AJ33" i="5"/>
  <c r="AJ35" i="5"/>
  <c r="AV22" i="5"/>
  <c r="AV24" i="5" s="1"/>
  <c r="AU34" i="5" a="1"/>
  <c r="AU34" i="5" s="1"/>
  <c r="AU41" i="5"/>
  <c r="AP25" i="5"/>
  <c r="AM26" i="5" s="1"/>
  <c r="AM27" i="5" s="1"/>
  <c r="AQ23" i="5"/>
  <c r="AJ36" i="5" l="1"/>
  <c r="AJ37" i="5" s="1"/>
  <c r="AM29" i="5"/>
  <c r="AM30" i="5" s="1"/>
  <c r="AM32" i="5" s="1"/>
  <c r="AK35" i="5"/>
  <c r="AK36" i="5" s="1"/>
  <c r="AK37" i="5" s="1"/>
  <c r="AK33" i="5"/>
  <c r="AQ25" i="5"/>
  <c r="AN26" i="5" s="1"/>
  <c r="AN27" i="5" s="1"/>
  <c r="AR23" i="5"/>
  <c r="AV34" i="5" a="1"/>
  <c r="AV34" i="5" s="1"/>
  <c r="AW22" i="5"/>
  <c r="AW24" i="5" s="1"/>
  <c r="AV41" i="5"/>
  <c r="AK40" i="5" l="1"/>
  <c r="AK42" i="5" s="1"/>
  <c r="AK38" i="5"/>
  <c r="AL33" i="5"/>
  <c r="AL35" i="5"/>
  <c r="AL36" i="5" s="1"/>
  <c r="AL37" i="5" s="1"/>
  <c r="AN29" i="5"/>
  <c r="AN30" i="5" s="1"/>
  <c r="AN32" i="5" s="1"/>
  <c r="AJ38" i="5"/>
  <c r="AJ40" i="5"/>
  <c r="AJ42" i="5" s="1"/>
  <c r="AJ43" i="5" s="1"/>
  <c r="AJ44" i="5" s="1"/>
  <c r="AW41" i="5"/>
  <c r="AW34" i="5" a="1"/>
  <c r="AW34" i="5" s="1"/>
  <c r="AX22" i="5"/>
  <c r="AX24" i="5" s="1"/>
  <c r="AR25" i="5"/>
  <c r="AO26" i="5" s="1"/>
  <c r="AO27" i="5" s="1"/>
  <c r="AS23" i="5"/>
  <c r="AL40" i="5" l="1"/>
  <c r="AL42" i="5" s="1"/>
  <c r="AL43" i="5" s="1"/>
  <c r="AL44" i="5" s="1"/>
  <c r="AL38" i="5"/>
  <c r="AM33" i="5"/>
  <c r="AM35" i="5"/>
  <c r="AM36" i="5" s="1"/>
  <c r="AM37" i="5" s="1"/>
  <c r="AO29" i="5"/>
  <c r="AO30" i="5" s="1"/>
  <c r="AO32" i="5" s="1"/>
  <c r="AN33" i="5"/>
  <c r="AN35" i="5"/>
  <c r="AN36" i="5" s="1"/>
  <c r="AN37" i="5" s="1"/>
  <c r="AN38" i="5" s="1"/>
  <c r="AK43" i="5"/>
  <c r="AK44" i="5" s="1"/>
  <c r="AS25" i="5"/>
  <c r="AP26" i="5" s="1"/>
  <c r="AP27" i="5" s="1"/>
  <c r="AT23" i="5"/>
  <c r="AX41" i="5"/>
  <c r="AY22" i="5"/>
  <c r="AY24" i="5" s="1"/>
  <c r="AX34" i="5" a="1"/>
  <c r="AX34" i="5" s="1"/>
  <c r="AN40" i="5" l="1"/>
  <c r="AN42" i="5" s="1"/>
  <c r="AP29" i="5"/>
  <c r="AP30" i="5" s="1"/>
  <c r="AP32" i="5" s="1"/>
  <c r="AM38" i="5"/>
  <c r="AM40" i="5"/>
  <c r="AM42" i="5" s="1"/>
  <c r="AM43" i="5" s="1"/>
  <c r="AM44" i="5" s="1"/>
  <c r="AY34" i="5" a="1"/>
  <c r="AY34" i="5" s="1"/>
  <c r="AZ22" i="5"/>
  <c r="AZ24" i="5" s="1"/>
  <c r="AY41" i="5"/>
  <c r="AT25" i="5"/>
  <c r="AQ26" i="5" s="1"/>
  <c r="AQ27" i="5" s="1"/>
  <c r="AU23" i="5"/>
  <c r="AP35" i="5" l="1"/>
  <c r="AP36" i="5" s="1"/>
  <c r="AP37" i="5" s="1"/>
  <c r="AP38" i="5" s="1"/>
  <c r="AP33" i="5"/>
  <c r="AN43" i="5"/>
  <c r="AN44" i="5" s="1"/>
  <c r="AO33" i="5"/>
  <c r="AO35" i="5"/>
  <c r="AO36" i="5" s="1"/>
  <c r="AO37" i="5" s="1"/>
  <c r="AQ29" i="5"/>
  <c r="AQ30" i="5" s="1"/>
  <c r="AQ32" i="5" s="1"/>
  <c r="AU25" i="5"/>
  <c r="AR26" i="5" s="1"/>
  <c r="AR27" i="5" s="1"/>
  <c r="AV23" i="5"/>
  <c r="AZ41" i="5"/>
  <c r="BA22" i="5"/>
  <c r="BA24" i="5" s="1"/>
  <c r="AZ34" i="5" a="1"/>
  <c r="AZ34" i="5" s="1"/>
  <c r="AP40" i="5" l="1"/>
  <c r="AP42" i="5" s="1"/>
  <c r="AO40" i="5"/>
  <c r="AO42" i="5" s="1"/>
  <c r="AO43" i="5" s="1"/>
  <c r="AO44" i="5" s="1"/>
  <c r="AO38" i="5"/>
  <c r="AQ33" i="5"/>
  <c r="AQ35" i="5"/>
  <c r="AQ36" i="5" s="1"/>
  <c r="AQ37" i="5" s="1"/>
  <c r="AQ40" i="5" s="1"/>
  <c r="AQ42" i="5" s="1"/>
  <c r="AR29" i="5"/>
  <c r="AR30" i="5" s="1"/>
  <c r="AR32" i="5" s="1"/>
  <c r="BA34" i="5" a="1"/>
  <c r="BA34" i="5" s="1"/>
  <c r="BA41" i="5"/>
  <c r="BB22" i="5"/>
  <c r="BB24" i="5" s="1"/>
  <c r="AV25" i="5"/>
  <c r="AS26" i="5" s="1"/>
  <c r="AS27" i="5" s="1"/>
  <c r="AW23" i="5"/>
  <c r="AQ38" i="5" l="1"/>
  <c r="AQ43" i="5"/>
  <c r="AQ44" i="5" s="1"/>
  <c r="AP43" i="5"/>
  <c r="AP44" i="5" s="1"/>
  <c r="AS29" i="5"/>
  <c r="AS30" i="5" s="1"/>
  <c r="AS32" i="5" s="1"/>
  <c r="AR35" i="5"/>
  <c r="AR33" i="5"/>
  <c r="BC22" i="5"/>
  <c r="BC24" i="5" s="1"/>
  <c r="BB34" i="5" a="1"/>
  <c r="BB34" i="5" s="1"/>
  <c r="BB41" i="5"/>
  <c r="AX23" i="5"/>
  <c r="AW25" i="5"/>
  <c r="AT26" i="5" s="1"/>
  <c r="AT27" i="5" s="1"/>
  <c r="AR36" i="5" l="1"/>
  <c r="AR37" i="5" s="1"/>
  <c r="AT29" i="5"/>
  <c r="AT30" i="5" s="1"/>
  <c r="AT32" i="5" s="1"/>
  <c r="AX25" i="5"/>
  <c r="AU26" i="5" s="1"/>
  <c r="AU27" i="5" s="1"/>
  <c r="AY23" i="5"/>
  <c r="BC34" i="5" a="1"/>
  <c r="BC34" i="5" s="1"/>
  <c r="BC41" i="5"/>
  <c r="BD22" i="5"/>
  <c r="BD24" i="5" s="1"/>
  <c r="AR40" i="5" l="1"/>
  <c r="AR42" i="5" s="1"/>
  <c r="AR43" i="5" s="1"/>
  <c r="AR44" i="5" s="1"/>
  <c r="AR38" i="5"/>
  <c r="AT33" i="5"/>
  <c r="AT35" i="5"/>
  <c r="AU29" i="5"/>
  <c r="AU30" i="5" s="1"/>
  <c r="AU32" i="5" s="1"/>
  <c r="AS33" i="5"/>
  <c r="AS35" i="5"/>
  <c r="AS36" i="5" s="1"/>
  <c r="AS37" i="5" s="1"/>
  <c r="BE22" i="5"/>
  <c r="BE24" i="5" s="1"/>
  <c r="BD34" i="5" a="1"/>
  <c r="BD34" i="5" s="1"/>
  <c r="BD41" i="5"/>
  <c r="AY25" i="5"/>
  <c r="AV26" i="5" s="1"/>
  <c r="AV27" i="5" s="1"/>
  <c r="AZ23" i="5"/>
  <c r="AT36" i="5" l="1"/>
  <c r="AT37" i="5" s="1"/>
  <c r="AV29" i="5"/>
  <c r="AV30" i="5" s="1"/>
  <c r="AV32" i="5" s="1"/>
  <c r="AS40" i="5"/>
  <c r="AS42" i="5" s="1"/>
  <c r="AS43" i="5" s="1"/>
  <c r="AS44" i="5" s="1"/>
  <c r="AS38" i="5"/>
  <c r="AZ25" i="5"/>
  <c r="AW26" i="5" s="1"/>
  <c r="AW27" i="5" s="1"/>
  <c r="BA23" i="5"/>
  <c r="BE34" i="5" a="1"/>
  <c r="BE34" i="5" s="1"/>
  <c r="BE41" i="5"/>
  <c r="BF22" i="5"/>
  <c r="BF24" i="5" s="1"/>
  <c r="AW29" i="5" l="1"/>
  <c r="AW30" i="5" s="1"/>
  <c r="AW32" i="5" s="1"/>
  <c r="AV33" i="5"/>
  <c r="AV35" i="5"/>
  <c r="AT40" i="5"/>
  <c r="AT42" i="5" s="1"/>
  <c r="AT43" i="5" s="1"/>
  <c r="AT44" i="5" s="1"/>
  <c r="AT38" i="5"/>
  <c r="AU33" i="5"/>
  <c r="AU35" i="5"/>
  <c r="BF34" i="5" a="1"/>
  <c r="BF34" i="5" s="1"/>
  <c r="BF41" i="5"/>
  <c r="BG22" i="5"/>
  <c r="BG24" i="5" s="1"/>
  <c r="BB23" i="5"/>
  <c r="BA25" i="5"/>
  <c r="AX26" i="5" s="1"/>
  <c r="AX27" i="5" s="1"/>
  <c r="AU36" i="5" l="1"/>
  <c r="AU37" i="5" s="1"/>
  <c r="AV36" i="5"/>
  <c r="AV37" i="5" s="1"/>
  <c r="AX29" i="5"/>
  <c r="AX30" i="5" s="1"/>
  <c r="AX32" i="5" s="1"/>
  <c r="AW35" i="5"/>
  <c r="AW33" i="5"/>
  <c r="BB25" i="5"/>
  <c r="AY26" i="5" s="1"/>
  <c r="AY27" i="5" s="1"/>
  <c r="BC23" i="5"/>
  <c r="BG34" i="5" a="1"/>
  <c r="BG34" i="5" s="1"/>
  <c r="BH22" i="5"/>
  <c r="BH24" i="5" s="1"/>
  <c r="BG41" i="5"/>
  <c r="AW36" i="5" l="1"/>
  <c r="AW37" i="5" s="1"/>
  <c r="AX33" i="5"/>
  <c r="AX35" i="5"/>
  <c r="AX36" i="5" s="1"/>
  <c r="AX37" i="5" s="1"/>
  <c r="AX40" i="5" s="1"/>
  <c r="AX42" i="5" s="1"/>
  <c r="AV40" i="5"/>
  <c r="AV42" i="5" s="1"/>
  <c r="AV38" i="5"/>
  <c r="AU38" i="5"/>
  <c r="AU40" i="5"/>
  <c r="AU42" i="5" s="1"/>
  <c r="AU43" i="5" s="1"/>
  <c r="AU44" i="5" s="1"/>
  <c r="AY29" i="5"/>
  <c r="AY30" i="5" s="1"/>
  <c r="AY32" i="5" s="1"/>
  <c r="BI22" i="5"/>
  <c r="BI24" i="5" s="1"/>
  <c r="BH34" i="5" a="1"/>
  <c r="BH34" i="5" s="1"/>
  <c r="BH41" i="5"/>
  <c r="BC25" i="5"/>
  <c r="AZ26" i="5" s="1"/>
  <c r="AZ27" i="5" s="1"/>
  <c r="BD23" i="5"/>
  <c r="AX38" i="5" l="1"/>
  <c r="AW40" i="5"/>
  <c r="AW42" i="5" s="1"/>
  <c r="AW43" i="5" s="1"/>
  <c r="AW44" i="5" s="1"/>
  <c r="AW38" i="5"/>
  <c r="AV43" i="5"/>
  <c r="AV44" i="5" s="1"/>
  <c r="AZ29" i="5"/>
  <c r="AZ30" i="5" s="1"/>
  <c r="AZ32" i="5" s="1"/>
  <c r="BD25" i="5"/>
  <c r="BA26" i="5" s="1"/>
  <c r="BA27" i="5" s="1"/>
  <c r="BE23" i="5"/>
  <c r="BJ22" i="5"/>
  <c r="BJ24" i="5" s="1"/>
  <c r="BI41" i="5"/>
  <c r="BI34" i="5" a="1"/>
  <c r="BI34" i="5" s="1"/>
  <c r="AY35" i="5" l="1"/>
  <c r="AY33" i="5"/>
  <c r="AZ33" i="5"/>
  <c r="AZ35" i="5"/>
  <c r="BA29" i="5"/>
  <c r="BA30" i="5" s="1"/>
  <c r="BA32" i="5" s="1"/>
  <c r="AX43" i="5"/>
  <c r="AX44" i="5" s="1"/>
  <c r="BK22" i="5"/>
  <c r="BK24" i="5" s="1"/>
  <c r="BJ41" i="5"/>
  <c r="BJ34" i="5" a="1"/>
  <c r="BJ34" i="5" s="1"/>
  <c r="BE25" i="5"/>
  <c r="BB26" i="5" s="1"/>
  <c r="BB27" i="5" s="1"/>
  <c r="BF23" i="5"/>
  <c r="AZ36" i="5" l="1"/>
  <c r="AZ37" i="5" s="1"/>
  <c r="BA35" i="5"/>
  <c r="BA36" i="5" s="1"/>
  <c r="BA37" i="5" s="1"/>
  <c r="BA40" i="5" s="1"/>
  <c r="BA42" i="5" s="1"/>
  <c r="BA33" i="5"/>
  <c r="BB29" i="5"/>
  <c r="BB30" i="5" s="1"/>
  <c r="BB32" i="5" s="1"/>
  <c r="AY36" i="5"/>
  <c r="AY37" i="5" s="1"/>
  <c r="BF25" i="5"/>
  <c r="BC26" i="5" s="1"/>
  <c r="BC27" i="5" s="1"/>
  <c r="BG23" i="5"/>
  <c r="BK41" i="5"/>
  <c r="BL22" i="5"/>
  <c r="BL24" i="5" s="1"/>
  <c r="BK34" i="5" a="1"/>
  <c r="BK34" i="5" s="1"/>
  <c r="BA38" i="5" l="1"/>
  <c r="BC29" i="5"/>
  <c r="BC30" i="5" s="1"/>
  <c r="BC32" i="5" s="1"/>
  <c r="AY38" i="5"/>
  <c r="AY40" i="5"/>
  <c r="AY42" i="5" s="1"/>
  <c r="AY43" i="5" s="1"/>
  <c r="AY44" i="5" s="1"/>
  <c r="AZ38" i="5"/>
  <c r="AZ40" i="5"/>
  <c r="AZ42" i="5" s="1"/>
  <c r="BL34" i="5" a="1"/>
  <c r="BL34" i="5" s="1"/>
  <c r="BM22" i="5"/>
  <c r="BM24" i="5" s="1"/>
  <c r="BL41" i="5"/>
  <c r="BH23" i="5"/>
  <c r="BG25" i="5"/>
  <c r="BD26" i="5" s="1"/>
  <c r="BD27" i="5" s="1"/>
  <c r="AZ43" i="5" l="1"/>
  <c r="AZ44" i="5" s="1"/>
  <c r="BA43" i="5"/>
  <c r="BA44" i="5" s="1"/>
  <c r="BC33" i="5"/>
  <c r="BC35" i="5"/>
  <c r="BD29" i="5"/>
  <c r="BD30" i="5" s="1"/>
  <c r="BD32" i="5" s="1"/>
  <c r="BB33" i="5"/>
  <c r="BB35" i="5"/>
  <c r="BB36" i="5" s="1"/>
  <c r="BB37" i="5" s="1"/>
  <c r="BM34" i="5" a="1"/>
  <c r="BM34" i="5" s="1"/>
  <c r="BM41" i="5"/>
  <c r="BN22" i="5"/>
  <c r="BN24" i="5" s="1"/>
  <c r="BI23" i="5"/>
  <c r="BH25" i="5"/>
  <c r="BE26" i="5" s="1"/>
  <c r="BE27" i="5" s="1"/>
  <c r="BC36" i="5" l="1"/>
  <c r="BC37" i="5" s="1"/>
  <c r="BB40" i="5"/>
  <c r="BB42" i="5" s="1"/>
  <c r="BB43" i="5" s="1"/>
  <c r="BB44" i="5" s="1"/>
  <c r="BB38" i="5"/>
  <c r="BE29" i="5"/>
  <c r="BE30" i="5" s="1"/>
  <c r="BE32" i="5" s="1"/>
  <c r="BO22" i="5"/>
  <c r="BO24" i="5" s="1"/>
  <c r="BN41" i="5"/>
  <c r="BN34" i="5" a="1"/>
  <c r="BN34" i="5" s="1"/>
  <c r="BI25" i="5"/>
  <c r="BF26" i="5" s="1"/>
  <c r="BF27" i="5" s="1"/>
  <c r="BJ23" i="5"/>
  <c r="BC40" i="5" l="1"/>
  <c r="BC42" i="5" s="1"/>
  <c r="BC43" i="5" s="1"/>
  <c r="BC44" i="5" s="1"/>
  <c r="BC38" i="5"/>
  <c r="BF29" i="5"/>
  <c r="BF30" i="5" s="1"/>
  <c r="BF32" i="5" s="1"/>
  <c r="BD33" i="5"/>
  <c r="BD35" i="5"/>
  <c r="BJ25" i="5"/>
  <c r="BG26" i="5" s="1"/>
  <c r="BG27" i="5" s="1"/>
  <c r="BK23" i="5"/>
  <c r="BO34" i="5" a="1"/>
  <c r="BO34" i="5" s="1"/>
  <c r="BO41" i="5"/>
  <c r="BP22" i="5"/>
  <c r="BP24" i="5" s="1"/>
  <c r="BD36" i="5" l="1"/>
  <c r="BD37" i="5" s="1"/>
  <c r="BG29" i="5"/>
  <c r="BG30" i="5" s="1"/>
  <c r="BG32" i="5" s="1"/>
  <c r="BF33" i="5"/>
  <c r="BF35" i="5"/>
  <c r="BE33" i="5"/>
  <c r="BE35" i="5"/>
  <c r="BP34" i="5" a="1"/>
  <c r="BP34" i="5" s="1"/>
  <c r="BP41" i="5"/>
  <c r="BQ22" i="5"/>
  <c r="BQ24" i="5" s="1"/>
  <c r="BK25" i="5"/>
  <c r="BH26" i="5" s="1"/>
  <c r="BH27" i="5" s="1"/>
  <c r="BL23" i="5"/>
  <c r="BD38" i="5" l="1"/>
  <c r="BD40" i="5"/>
  <c r="BD42" i="5" s="1"/>
  <c r="BD43" i="5" s="1"/>
  <c r="BD44" i="5" s="1"/>
  <c r="BE36" i="5"/>
  <c r="BE37" i="5" s="1"/>
  <c r="BH29" i="5"/>
  <c r="BH30" i="5" s="1"/>
  <c r="BH32" i="5" s="1"/>
  <c r="BF36" i="5"/>
  <c r="BF37" i="5" s="1"/>
  <c r="BM23" i="5"/>
  <c r="BL25" i="5"/>
  <c r="BI26" i="5" s="1"/>
  <c r="BI27" i="5" s="1"/>
  <c r="BR22" i="5"/>
  <c r="BR24" i="5" s="1"/>
  <c r="BQ34" i="5" a="1"/>
  <c r="BQ34" i="5" s="1"/>
  <c r="BQ41" i="5"/>
  <c r="BF40" i="5" l="1"/>
  <c r="BF42" i="5" s="1"/>
  <c r="BF38" i="5"/>
  <c r="BH33" i="5"/>
  <c r="BH35" i="5"/>
  <c r="BG33" i="5"/>
  <c r="BG35" i="5"/>
  <c r="BI29" i="5"/>
  <c r="BI30" i="5" s="1"/>
  <c r="BI32" i="5" s="1"/>
  <c r="BE38" i="5"/>
  <c r="BE40" i="5"/>
  <c r="BE42" i="5" s="1"/>
  <c r="BE43" i="5" s="1"/>
  <c r="BE44" i="5" s="1"/>
  <c r="BR34" i="5" a="1"/>
  <c r="BR34" i="5" s="1"/>
  <c r="BR41" i="5"/>
  <c r="BS22" i="5"/>
  <c r="BS24" i="5" s="1"/>
  <c r="BM25" i="5"/>
  <c r="BJ26" i="5" s="1"/>
  <c r="BJ27" i="5" s="1"/>
  <c r="BN23" i="5"/>
  <c r="BJ29" i="5" l="1"/>
  <c r="BJ30" i="5" s="1"/>
  <c r="BJ32" i="5" s="1"/>
  <c r="BG36" i="5"/>
  <c r="BG37" i="5" s="1"/>
  <c r="BH36" i="5"/>
  <c r="BH37" i="5" s="1"/>
  <c r="BF43" i="5"/>
  <c r="BF44" i="5" s="1"/>
  <c r="BT22" i="5"/>
  <c r="BT24" i="5" s="1"/>
  <c r="BS34" i="5" a="1"/>
  <c r="BS34" i="5" s="1"/>
  <c r="BS41" i="5"/>
  <c r="BO23" i="5"/>
  <c r="BN25" i="5"/>
  <c r="BK26" i="5" s="1"/>
  <c r="BK27" i="5" s="1"/>
  <c r="BH40" i="5" l="1"/>
  <c r="BH42" i="5" s="1"/>
  <c r="BH38" i="5"/>
  <c r="BK29" i="5"/>
  <c r="BK30" i="5" s="1"/>
  <c r="BK32" i="5" s="1"/>
  <c r="BG40" i="5"/>
  <c r="BG42" i="5" s="1"/>
  <c r="BG43" i="5" s="1"/>
  <c r="BG44" i="5" s="1"/>
  <c r="BG38" i="5"/>
  <c r="BI33" i="5"/>
  <c r="BI35" i="5"/>
  <c r="BO25" i="5"/>
  <c r="BL26" i="5" s="1"/>
  <c r="BL27" i="5" s="1"/>
  <c r="BP23" i="5"/>
  <c r="BU22" i="5"/>
  <c r="BU24" i="5" s="1"/>
  <c r="BT34" i="5" a="1"/>
  <c r="BT34" i="5" s="1"/>
  <c r="BT41" i="5"/>
  <c r="BI36" i="5" l="1"/>
  <c r="BI37" i="5" s="1"/>
  <c r="BJ33" i="5"/>
  <c r="BJ35" i="5"/>
  <c r="BK33" i="5"/>
  <c r="BK35" i="5"/>
  <c r="BK36" i="5" s="1"/>
  <c r="BK37" i="5" s="1"/>
  <c r="BK38" i="5" s="1"/>
  <c r="BL29" i="5"/>
  <c r="BL30" i="5" s="1"/>
  <c r="BL32" i="5" s="1"/>
  <c r="BH43" i="5"/>
  <c r="BH44" i="5" s="1"/>
  <c r="BU34" i="5" a="1"/>
  <c r="BU34" i="5" s="1"/>
  <c r="BU41" i="5"/>
  <c r="BV22" i="5"/>
  <c r="BV24" i="5" s="1"/>
  <c r="BP25" i="5"/>
  <c r="BM26" i="5" s="1"/>
  <c r="BM27" i="5" s="1"/>
  <c r="BQ23" i="5"/>
  <c r="BK40" i="5" l="1"/>
  <c r="BK42" i="5" s="1"/>
  <c r="BL33" i="5"/>
  <c r="BL35" i="5"/>
  <c r="BL36" i="5" s="1"/>
  <c r="BL37" i="5" s="1"/>
  <c r="BL38" i="5" s="1"/>
  <c r="BM29" i="5"/>
  <c r="BM30" i="5" s="1"/>
  <c r="BM32" i="5" s="1"/>
  <c r="BI40" i="5"/>
  <c r="BI42" i="5" s="1"/>
  <c r="BI43" i="5" s="1"/>
  <c r="BI44" i="5" s="1"/>
  <c r="BI38" i="5"/>
  <c r="BJ36" i="5"/>
  <c r="BJ37" i="5" s="1"/>
  <c r="BV34" i="5" a="1"/>
  <c r="BV34" i="5" s="1"/>
  <c r="BV41" i="5"/>
  <c r="BW22" i="5"/>
  <c r="BW24" i="5" s="1"/>
  <c r="BR23" i="5"/>
  <c r="BQ25" i="5"/>
  <c r="BN26" i="5" s="1"/>
  <c r="BN27" i="5" s="1"/>
  <c r="BL40" i="5" l="1"/>
  <c r="BL42" i="5" s="1"/>
  <c r="BM33" i="5"/>
  <c r="BM35" i="5"/>
  <c r="BM36" i="5" s="1"/>
  <c r="BM37" i="5" s="1"/>
  <c r="BM40" i="5" s="1"/>
  <c r="BM42" i="5" s="1"/>
  <c r="BN29" i="5"/>
  <c r="BN30" i="5" s="1"/>
  <c r="BN32" i="5" s="1"/>
  <c r="BJ38" i="5"/>
  <c r="BJ40" i="5"/>
  <c r="BJ42" i="5" s="1"/>
  <c r="BJ43" i="5" s="1"/>
  <c r="BJ44" i="5" s="1"/>
  <c r="BR25" i="5"/>
  <c r="BO26" i="5" s="1"/>
  <c r="BO27" i="5" s="1"/>
  <c r="BS23" i="5"/>
  <c r="BW34" i="5" a="1"/>
  <c r="BW34" i="5" s="1"/>
  <c r="BW41" i="5"/>
  <c r="BX22" i="5"/>
  <c r="BX24" i="5" s="1"/>
  <c r="BM38" i="5" l="1"/>
  <c r="BK43" i="5"/>
  <c r="BK44" i="5" s="1"/>
  <c r="BM43" i="5"/>
  <c r="BM44" i="5" s="1"/>
  <c r="BO29" i="5"/>
  <c r="BO30" i="5" s="1"/>
  <c r="BO32" i="5" s="1"/>
  <c r="BL43" i="5"/>
  <c r="BL44" i="5" s="1"/>
  <c r="BN33" i="5"/>
  <c r="BN35" i="5"/>
  <c r="BN36" i="5" s="1"/>
  <c r="BN37" i="5" s="1"/>
  <c r="BN38" i="5" s="1"/>
  <c r="BX34" i="5" a="1"/>
  <c r="BX34" i="5" s="1"/>
  <c r="BX41" i="5"/>
  <c r="BY22" i="5"/>
  <c r="BY24" i="5" s="1"/>
  <c r="BS25" i="5"/>
  <c r="BP26" i="5" s="1"/>
  <c r="BP27" i="5" s="1"/>
  <c r="BT23" i="5"/>
  <c r="BN40" i="5" l="1"/>
  <c r="BN42" i="5" s="1"/>
  <c r="BN43" i="5" s="1"/>
  <c r="BN44" i="5" s="1"/>
  <c r="BP29" i="5"/>
  <c r="BP30" i="5" s="1"/>
  <c r="BP32" i="5" s="1"/>
  <c r="BO33" i="5"/>
  <c r="BO35" i="5"/>
  <c r="BT25" i="5"/>
  <c r="BQ26" i="5" s="1"/>
  <c r="BQ27" i="5" s="1"/>
  <c r="BU23" i="5"/>
  <c r="BY34" i="5" a="1"/>
  <c r="BY34" i="5" s="1"/>
  <c r="BY41" i="5"/>
  <c r="BZ22" i="5"/>
  <c r="BZ24" i="5" s="1"/>
  <c r="BP35" i="5" l="1"/>
  <c r="BP33" i="5"/>
  <c r="BO36" i="5"/>
  <c r="BO37" i="5" s="1"/>
  <c r="BQ29" i="5"/>
  <c r="BQ30" i="5" s="1"/>
  <c r="BQ32" i="5" s="1"/>
  <c r="BV23" i="5"/>
  <c r="BU25" i="5"/>
  <c r="BR26" i="5" s="1"/>
  <c r="BR27" i="5" s="1"/>
  <c r="BZ34" i="5" a="1"/>
  <c r="BZ34" i="5" s="1"/>
  <c r="BZ41" i="5"/>
  <c r="CA22" i="5"/>
  <c r="CA24" i="5" s="1"/>
  <c r="BR29" i="5" l="1"/>
  <c r="BR30" i="5" s="1"/>
  <c r="BR32" i="5" s="1"/>
  <c r="BO40" i="5"/>
  <c r="BO42" i="5" s="1"/>
  <c r="BO43" i="5" s="1"/>
  <c r="BO44" i="5" s="1"/>
  <c r="BO38" i="5"/>
  <c r="BP36" i="5"/>
  <c r="BP37" i="5" s="1"/>
  <c r="BW23" i="5"/>
  <c r="BV25" i="5"/>
  <c r="BS26" i="5" s="1"/>
  <c r="BS27" i="5" s="1"/>
  <c r="CA34" i="5" a="1"/>
  <c r="CA34" i="5" s="1"/>
  <c r="CB22" i="5"/>
  <c r="CB24" i="5" s="1"/>
  <c r="CA41" i="5"/>
  <c r="BP38" i="5" l="1"/>
  <c r="BP40" i="5"/>
  <c r="BP42" i="5" s="1"/>
  <c r="BP43" i="5" s="1"/>
  <c r="BP44" i="5" s="1"/>
  <c r="BR33" i="5"/>
  <c r="BR35" i="5"/>
  <c r="BS29" i="5"/>
  <c r="BS30" i="5" s="1"/>
  <c r="BS32" i="5" s="1"/>
  <c r="BQ33" i="5"/>
  <c r="BQ35" i="5"/>
  <c r="BQ36" i="5" s="1"/>
  <c r="BQ37" i="5" s="1"/>
  <c r="CB41" i="5"/>
  <c r="CB34" i="5" a="1"/>
  <c r="CB34" i="5" s="1"/>
  <c r="CC22" i="5"/>
  <c r="CC24" i="5" s="1"/>
  <c r="BW25" i="5"/>
  <c r="BT26" i="5" s="1"/>
  <c r="BT27" i="5" s="1"/>
  <c r="BX23" i="5"/>
  <c r="BS33" i="5" l="1"/>
  <c r="BQ38" i="5"/>
  <c r="BQ40" i="5"/>
  <c r="BQ42" i="5" s="1"/>
  <c r="BQ43" i="5" s="1"/>
  <c r="BQ44" i="5" s="1"/>
  <c r="BR36" i="5"/>
  <c r="BR37" i="5" s="1"/>
  <c r="BT29" i="5"/>
  <c r="BT30" i="5" s="1"/>
  <c r="BT32" i="5" s="1"/>
  <c r="BX25" i="5"/>
  <c r="BU26" i="5" s="1"/>
  <c r="BU27" i="5" s="1"/>
  <c r="BY23" i="5"/>
  <c r="CD22" i="5"/>
  <c r="CD24" i="5" s="1"/>
  <c r="CC41" i="5"/>
  <c r="CC34" i="5" a="1"/>
  <c r="CC34" i="5" s="1"/>
  <c r="BS35" i="5" l="1"/>
  <c r="BS36" i="5" s="1"/>
  <c r="BR40" i="5"/>
  <c r="BR42" i="5" s="1"/>
  <c r="BR43" i="5" s="1"/>
  <c r="BR44" i="5" s="1"/>
  <c r="BR38" i="5"/>
  <c r="BU29" i="5"/>
  <c r="BU30" i="5" s="1"/>
  <c r="BU32" i="5" s="1"/>
  <c r="CD41" i="5"/>
  <c r="CD34" i="5" a="1"/>
  <c r="CD34" i="5" s="1"/>
  <c r="BY25" i="5"/>
  <c r="BV26" i="5" s="1"/>
  <c r="BV27" i="5" s="1"/>
  <c r="BZ23" i="5"/>
  <c r="BS37" i="5" l="1"/>
  <c r="BS38" i="5" s="1"/>
  <c r="BV29" i="5"/>
  <c r="BV30" i="5" s="1"/>
  <c r="BV32" i="5" s="1"/>
  <c r="BT33" i="5"/>
  <c r="BT35" i="5"/>
  <c r="BT36" i="5" s="1"/>
  <c r="BT37" i="5" s="1"/>
  <c r="BZ25" i="5"/>
  <c r="BW26" i="5" s="1"/>
  <c r="BW27" i="5" s="1"/>
  <c r="CA23" i="5"/>
  <c r="BS40" i="5" l="1"/>
  <c r="BS42" i="5" s="1"/>
  <c r="BS43" i="5" s="1"/>
  <c r="BS44" i="5" s="1"/>
  <c r="BW29" i="5"/>
  <c r="BW30" i="5" s="1"/>
  <c r="BW32" i="5" s="1"/>
  <c r="BV35" i="5"/>
  <c r="BV33" i="5"/>
  <c r="BT38" i="5"/>
  <c r="BT40" i="5"/>
  <c r="BT42" i="5" s="1"/>
  <c r="BU33" i="5"/>
  <c r="BU35" i="5"/>
  <c r="BU36" i="5" s="1"/>
  <c r="BU37" i="5" s="1"/>
  <c r="CA25" i="5"/>
  <c r="BX26" i="5" s="1"/>
  <c r="BX27" i="5" s="1"/>
  <c r="CB23" i="5"/>
  <c r="BT43" i="5" l="1"/>
  <c r="BT44" i="5" s="1"/>
  <c r="BU38" i="5"/>
  <c r="BU40" i="5"/>
  <c r="BU42" i="5" s="1"/>
  <c r="BU43" i="5" s="1"/>
  <c r="BU44" i="5" s="1"/>
  <c r="BX29" i="5"/>
  <c r="BX30" i="5" s="1"/>
  <c r="BX32" i="5" s="1"/>
  <c r="BV36" i="5"/>
  <c r="BV37" i="5" s="1"/>
  <c r="CB25" i="5"/>
  <c r="BY26" i="5" s="1"/>
  <c r="BY27" i="5" s="1"/>
  <c r="CC23" i="5"/>
  <c r="BV40" i="5" l="1"/>
  <c r="BV42" i="5" s="1"/>
  <c r="BV43" i="5" s="1"/>
  <c r="BV44" i="5" s="1"/>
  <c r="BV38" i="5"/>
  <c r="BW33" i="5"/>
  <c r="BW35" i="5"/>
  <c r="BX33" i="5"/>
  <c r="BX35" i="5"/>
  <c r="BX36" i="5" s="1"/>
  <c r="BX37" i="5" s="1"/>
  <c r="BX40" i="5" s="1"/>
  <c r="BX42" i="5" s="1"/>
  <c r="BY29" i="5"/>
  <c r="BY30" i="5" s="1"/>
  <c r="BY32" i="5" s="1"/>
  <c r="CC25" i="5"/>
  <c r="CD23" i="5"/>
  <c r="CD25" i="5" s="1"/>
  <c r="CG25" i="5" l="1"/>
  <c r="CD27" i="5" s="1"/>
  <c r="BZ26" i="5"/>
  <c r="BZ27" i="5" s="1"/>
  <c r="BZ29" i="5" s="1"/>
  <c r="BZ30" i="5" s="1"/>
  <c r="BZ32" i="5" s="1"/>
  <c r="CC26" i="5"/>
  <c r="CC27" i="5" s="1"/>
  <c r="CC29" i="5" s="1"/>
  <c r="BX38" i="5"/>
  <c r="CA26" i="5"/>
  <c r="CA27" i="5" s="1"/>
  <c r="CB26" i="5"/>
  <c r="CB27" i="5" s="1"/>
  <c r="BW36" i="5"/>
  <c r="BW37" i="5" s="1"/>
  <c r="CG27" i="5" l="1"/>
  <c r="CG26" i="5"/>
  <c r="CC30" i="5"/>
  <c r="CC32" i="5" s="1"/>
  <c r="BW40" i="5"/>
  <c r="BW42" i="5" s="1"/>
  <c r="BW38" i="5"/>
  <c r="CB29" i="5"/>
  <c r="CB30" i="5" s="1"/>
  <c r="CD29" i="5"/>
  <c r="BZ35" i="5"/>
  <c r="BZ36" i="5" s="1"/>
  <c r="BZ37" i="5" s="1"/>
  <c r="BZ38" i="5" s="1"/>
  <c r="BZ33" i="5"/>
  <c r="CA29" i="5"/>
  <c r="CA30" i="5" s="1"/>
  <c r="CA32" i="5" s="1"/>
  <c r="BY33" i="5"/>
  <c r="BY35" i="5"/>
  <c r="BY36" i="5" s="1"/>
  <c r="BY37" i="5" s="1"/>
  <c r="CG29" i="5" l="1"/>
  <c r="CB32" i="5"/>
  <c r="CB35" i="5" s="1"/>
  <c r="CB36" i="5" s="1"/>
  <c r="CB37" i="5" s="1"/>
  <c r="BZ40" i="5"/>
  <c r="BZ42" i="5" s="1"/>
  <c r="CD30" i="5"/>
  <c r="CA33" i="5"/>
  <c r="CA35" i="5"/>
  <c r="BY38" i="5"/>
  <c r="BY40" i="5"/>
  <c r="BY42" i="5" s="1"/>
  <c r="BY43" i="5" s="1"/>
  <c r="BY44" i="5" s="1"/>
  <c r="BW43" i="5"/>
  <c r="BW44" i="5" s="1"/>
  <c r="BX43" i="5"/>
  <c r="BX44" i="5" s="1"/>
  <c r="CC33" i="5"/>
  <c r="CC35" i="5"/>
  <c r="CD32" i="5" l="1"/>
  <c r="CG32" i="5" s="1"/>
  <c r="CG33" i="5" s="1"/>
  <c r="CG30" i="5"/>
  <c r="CB33" i="5"/>
  <c r="CA36" i="5"/>
  <c r="CA37" i="5" s="1"/>
  <c r="BZ43" i="5"/>
  <c r="BZ44" i="5" s="1"/>
  <c r="CB40" i="5"/>
  <c r="CB42" i="5" s="1"/>
  <c r="CB38" i="5"/>
  <c r="CC36" i="5"/>
  <c r="CC37" i="5" s="1"/>
  <c r="CD35" i="5" l="1"/>
  <c r="CD36" i="5" s="1"/>
  <c r="CG36" i="5" s="1"/>
  <c r="CD33" i="5"/>
  <c r="CA40" i="5"/>
  <c r="CA42" i="5" s="1"/>
  <c r="CA43" i="5" s="1"/>
  <c r="CA44" i="5" s="1"/>
  <c r="CA38" i="5"/>
  <c r="CC40" i="5"/>
  <c r="CC42" i="5" s="1"/>
  <c r="CC38" i="5"/>
  <c r="CG35" i="5" l="1"/>
  <c r="CD37" i="5"/>
  <c r="CB43" i="5"/>
  <c r="CB44" i="5" s="1"/>
  <c r="CC43" i="5"/>
  <c r="CC44" i="5" s="1"/>
  <c r="CD40" i="5" l="1"/>
  <c r="CD42" i="5" s="1"/>
  <c r="B7" i="5" s="1"/>
  <c r="CG37" i="5"/>
  <c r="CG38" i="5" s="1"/>
  <c r="B8" i="5" s="1"/>
  <c r="CD38" i="5"/>
  <c r="B19" i="5"/>
  <c r="CD43" i="5" l="1"/>
  <c r="CD44" i="5" s="1"/>
  <c r="B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<sst xmlns="http://schemas.openxmlformats.org/spreadsheetml/2006/main" count="61" uniqueCount="46">
  <si>
    <t>Inflação Média Anual</t>
  </si>
  <si>
    <t>Custo de Capital Real - ano</t>
  </si>
  <si>
    <t>Custo de Capital Real - mês</t>
  </si>
  <si>
    <t>Prazo Depreciação</t>
  </si>
  <si>
    <t>Contrato</t>
  </si>
  <si>
    <t>Margem Líquida</t>
  </si>
  <si>
    <t>Payback</t>
  </si>
  <si>
    <t>VPL R$ - Acumulado em 60 Meses</t>
  </si>
  <si>
    <t>TIR mensal</t>
  </si>
  <si>
    <t>TIR anual</t>
  </si>
  <si>
    <t>Margem EBITDA</t>
  </si>
  <si>
    <t>Receitas Brutas</t>
  </si>
  <si>
    <t>PRV</t>
  </si>
  <si>
    <t>Inadimplência</t>
  </si>
  <si>
    <t>taxa acumulada</t>
  </si>
  <si>
    <t>Receita bruta</t>
  </si>
  <si>
    <t>Imposto</t>
  </si>
  <si>
    <t>Custo</t>
  </si>
  <si>
    <t>Impostos</t>
  </si>
  <si>
    <t>Receita líquida</t>
  </si>
  <si>
    <t>Fluxo de Caixa</t>
  </si>
  <si>
    <t>VPL Mensal</t>
  </si>
  <si>
    <t>Margem Direta</t>
  </si>
  <si>
    <t>IR/CSLL</t>
  </si>
  <si>
    <t>Lucro Líquido</t>
  </si>
  <si>
    <t>Margem líquida</t>
  </si>
  <si>
    <t>output</t>
  </si>
  <si>
    <t>Margem Ebitda</t>
  </si>
  <si>
    <t>Depreciação total</t>
  </si>
  <si>
    <t>input</t>
  </si>
  <si>
    <t>Custo do produto</t>
  </si>
  <si>
    <t>Rateio</t>
  </si>
  <si>
    <t>Lucro líquido</t>
  </si>
  <si>
    <t>Prazo de Depreciação (Meses)</t>
  </si>
  <si>
    <t>Vpl Acumulado</t>
  </si>
  <si>
    <t>CAPEX (Mês de entrada pode variar)</t>
  </si>
  <si>
    <t>EBITDA</t>
  </si>
  <si>
    <t>Margem Ebit</t>
  </si>
  <si>
    <t>Custos Indiretos</t>
  </si>
  <si>
    <t>De</t>
  </si>
  <si>
    <t>Até</t>
  </si>
  <si>
    <t>Prazos</t>
  </si>
  <si>
    <t>WACC</t>
  </si>
  <si>
    <t>CONSOLIDADO</t>
  </si>
  <si>
    <t>modelo 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</si>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</sst>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00%"/>
    <numFmt numFmtId="167" formatCode="_(&quot;R$ &quot;* #,##0.00_);_(&quot;R$ &quot;* \(#,##0.00\);_(&quot;R$ &quot;* &quot;-&quot;??_);_(@_)"/>
    <numFmt numFmtId="168" formatCode="_-&quot;R$&quot;* #,##0.00_-;\-&quot;R$&quot;* #,##0.00_-;_-&quot;R$&quot;* &quot;-&quot;??_-;_-@_-"/>
    <numFmt numFmtId="169" formatCode="&quot;Mês &quot;##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62"/>
      <name val="Tahoma"/>
      <family val="2"/>
    </font>
    <font>
      <b/>
      <sz val="12"/>
      <color indexed="62"/>
      <name val="Tahoma"/>
      <family val="2"/>
    </font>
    <font>
      <b/>
      <sz val="11"/>
      <color indexed="62"/>
      <name val="Tahoma"/>
      <family val="2"/>
    </font>
    <font>
      <sz val="8"/>
      <name val="Aptos Narrow"/>
      <family val="2"/>
      <scheme val="minor"/>
    </font>
    <font>
      <b/>
      <sz val="10"/>
      <color theme="4" tint="-0.499984740745262"/>
      <name val="Tahoma"/>
      <family val="2"/>
    </font>
    <font>
      <sz val="11"/>
      <color theme="4" tint="-0.499984740745262"/>
      <name val="Tahoma"/>
      <family val="2"/>
    </font>
    <font>
      <sz val="10"/>
      <color theme="4" tint="-0.499984740745262"/>
      <name val="Tahoma"/>
      <family val="2"/>
    </font>
    <font>
      <b/>
      <sz val="12"/>
      <color theme="4" tint="-0.499984740745262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10" fontId="4" fillId="3" borderId="2" xfId="6" applyNumberFormat="1" applyFont="1" applyFill="1" applyBorder="1" applyAlignment="1">
      <alignment horizontal="right" vertical="center"/>
    </xf>
    <xf numFmtId="10" fontId="4" fillId="3" borderId="1" xfId="6" applyNumberFormat="1" applyFont="1" applyFill="1" applyBorder="1" applyAlignment="1">
      <alignment vertical="center"/>
    </xf>
    <xf numFmtId="10" fontId="4" fillId="3" borderId="3" xfId="6" applyNumberFormat="1" applyFont="1" applyFill="1" applyBorder="1" applyAlignment="1">
      <alignment horizontal="right" vertical="center"/>
    </xf>
    <xf numFmtId="10" fontId="4" fillId="3" borderId="1" xfId="6" applyNumberFormat="1" applyFont="1" applyFill="1" applyBorder="1" applyAlignment="1">
      <alignment horizontal="right" vertical="center"/>
    </xf>
    <xf numFmtId="40" fontId="4" fillId="3" borderId="1" xfId="0" applyNumberFormat="1" applyFont="1" applyFill="1" applyBorder="1" applyAlignment="1">
      <alignment horizontal="left" vertical="center"/>
    </xf>
    <xf numFmtId="40" fontId="4" fillId="3" borderId="1" xfId="0" applyNumberFormat="1" applyFont="1" applyFill="1" applyBorder="1" applyAlignment="1">
      <alignment vertical="center"/>
    </xf>
    <xf numFmtId="38" fontId="5" fillId="3" borderId="1" xfId="0" applyNumberFormat="1" applyFont="1" applyFill="1" applyBorder="1" applyAlignment="1">
      <alignment vertical="center"/>
    </xf>
    <xf numFmtId="40" fontId="4" fillId="3" borderId="3" xfId="0" applyNumberFormat="1" applyFont="1" applyFill="1" applyBorder="1" applyAlignment="1">
      <alignment vertical="center"/>
    </xf>
    <xf numFmtId="40" fontId="4" fillId="3" borderId="0" xfId="0" applyNumberFormat="1" applyFont="1" applyFill="1" applyAlignment="1">
      <alignment vertical="center"/>
    </xf>
    <xf numFmtId="40" fontId="4" fillId="3" borderId="5" xfId="0" applyNumberFormat="1" applyFont="1" applyFill="1" applyBorder="1" applyAlignment="1">
      <alignment vertical="center"/>
    </xf>
    <xf numFmtId="167" fontId="4" fillId="2" borderId="1" xfId="7" applyFont="1" applyFill="1" applyBorder="1" applyAlignment="1">
      <alignment horizontal="center" vertical="center"/>
    </xf>
    <xf numFmtId="40" fontId="7" fillId="4" borderId="6" xfId="0" applyNumberFormat="1" applyFont="1" applyFill="1" applyBorder="1" applyAlignment="1">
      <alignment horizontal="left" vertical="center"/>
    </xf>
    <xf numFmtId="168" fontId="7" fillId="4" borderId="6" xfId="2" applyNumberFormat="1" applyFont="1" applyFill="1" applyBorder="1" applyAlignment="1">
      <alignment horizontal="center" vertical="center"/>
    </xf>
    <xf numFmtId="40" fontId="8" fillId="0" borderId="0" xfId="0" applyNumberFormat="1" applyFont="1" applyAlignment="1">
      <alignment horizontal="left" indent="1"/>
    </xf>
    <xf numFmtId="40" fontId="9" fillId="0" borderId="4" xfId="0" applyNumberFormat="1" applyFont="1" applyBorder="1"/>
    <xf numFmtId="40" fontId="9" fillId="0" borderId="0" xfId="0" applyNumberFormat="1" applyFont="1"/>
    <xf numFmtId="165" fontId="8" fillId="0" borderId="0" xfId="1" applyNumberFormat="1" applyFont="1" applyBorder="1" applyAlignment="1">
      <alignment horizontal="left" indent="1"/>
    </xf>
    <xf numFmtId="165" fontId="9" fillId="0" borderId="0" xfId="1" applyNumberFormat="1" applyFont="1" applyBorder="1"/>
    <xf numFmtId="9" fontId="0" fillId="0" borderId="0" xfId="0" applyNumberFormat="1"/>
    <xf numFmtId="40" fontId="10" fillId="5" borderId="0" xfId="0" applyNumberFormat="1" applyFont="1" applyFill="1" applyAlignment="1">
      <alignment horizontal="left" vertical="center"/>
    </xf>
    <xf numFmtId="9" fontId="0" fillId="0" borderId="0" xfId="3" applyFont="1"/>
    <xf numFmtId="0" fontId="11" fillId="2" borderId="0" xfId="0" applyFont="1" applyFill="1"/>
    <xf numFmtId="44" fontId="11" fillId="2" borderId="0" xfId="2" applyFont="1" applyFill="1"/>
    <xf numFmtId="44" fontId="11" fillId="6" borderId="0" xfId="2" applyFont="1" applyFill="1"/>
    <xf numFmtId="44" fontId="5" fillId="3" borderId="1" xfId="2" applyFont="1" applyFill="1" applyBorder="1" applyAlignment="1">
      <alignment vertical="center"/>
    </xf>
    <xf numFmtId="44" fontId="0" fillId="0" borderId="0" xfId="0" applyNumberFormat="1"/>
    <xf numFmtId="40" fontId="7" fillId="4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5" fontId="3" fillId="7" borderId="1" xfId="5" applyNumberFormat="1" applyFont="1" applyFill="1" applyBorder="1" applyAlignment="1">
      <alignment vertical="center"/>
    </xf>
    <xf numFmtId="40" fontId="4" fillId="7" borderId="0" xfId="0" applyNumberFormat="1" applyFont="1" applyFill="1" applyAlignment="1">
      <alignment vertical="center"/>
    </xf>
    <xf numFmtId="40" fontId="4" fillId="7" borderId="5" xfId="0" applyNumberFormat="1" applyFont="1" applyFill="1" applyBorder="1" applyAlignment="1">
      <alignment vertical="center"/>
    </xf>
    <xf numFmtId="44" fontId="0" fillId="7" borderId="0" xfId="0" applyNumberFormat="1" applyFill="1"/>
    <xf numFmtId="40" fontId="7" fillId="7" borderId="6" xfId="0" applyNumberFormat="1" applyFont="1" applyFill="1" applyBorder="1" applyAlignment="1">
      <alignment horizontal="left" vertical="center"/>
    </xf>
    <xf numFmtId="44" fontId="0" fillId="7" borderId="0" xfId="3" applyNumberFormat="1" applyFont="1" applyFill="1"/>
    <xf numFmtId="40" fontId="7" fillId="7" borderId="6" xfId="0" applyNumberFormat="1" applyFont="1" applyFill="1" applyBorder="1" applyAlignment="1">
      <alignment horizontal="right" vertical="center"/>
    </xf>
    <xf numFmtId="0" fontId="0" fillId="7" borderId="0" xfId="0" applyFill="1"/>
    <xf numFmtId="40" fontId="12" fillId="7" borderId="6" xfId="0" applyNumberFormat="1" applyFont="1" applyFill="1" applyBorder="1" applyAlignment="1">
      <alignment horizontal="right" vertical="center"/>
    </xf>
    <xf numFmtId="9" fontId="0" fillId="7" borderId="0" xfId="0" applyNumberFormat="1" applyFill="1"/>
    <xf numFmtId="44" fontId="11" fillId="7" borderId="0" xfId="2" applyFont="1" applyFill="1"/>
    <xf numFmtId="0" fontId="11" fillId="7" borderId="0" xfId="0" applyFont="1" applyFill="1"/>
    <xf numFmtId="43" fontId="9" fillId="0" borderId="0" xfId="1" applyFont="1" applyBorder="1"/>
    <xf numFmtId="43" fontId="9" fillId="0" borderId="0" xfId="1" applyFont="1"/>
    <xf numFmtId="43" fontId="0" fillId="7" borderId="0" xfId="1" applyFont="1" applyFill="1"/>
    <xf numFmtId="43" fontId="0" fillId="0" borderId="0" xfId="1" applyFont="1"/>
    <xf numFmtId="166" fontId="4" fillId="7" borderId="1" xfId="6" applyNumberFormat="1" applyFont="1" applyFill="1" applyBorder="1" applyAlignment="1">
      <alignment vertical="center"/>
    </xf>
    <xf numFmtId="0" fontId="13" fillId="7" borderId="7" xfId="0" applyFont="1" applyFill="1" applyBorder="1"/>
    <xf numFmtId="10" fontId="13" fillId="7" borderId="7" xfId="0" applyNumberFormat="1" applyFont="1" applyFill="1" applyBorder="1"/>
    <xf numFmtId="43" fontId="0" fillId="0" borderId="8" xfId="0" applyNumberFormat="1" applyBorder="1"/>
    <xf numFmtId="43" fontId="0" fillId="0" borderId="9" xfId="0" applyNumberFormat="1" applyBorder="1"/>
    <xf numFmtId="9" fontId="0" fillId="2" borderId="0" xfId="0" applyNumberFormat="1" applyFill="1"/>
    <xf numFmtId="40" fontId="4" fillId="3" borderId="7" xfId="0" applyNumberFormat="1" applyFont="1" applyFill="1" applyBorder="1" applyAlignment="1">
      <alignment horizontal="center" vertical="center"/>
    </xf>
    <xf numFmtId="10" fontId="13" fillId="0" borderId="10" xfId="3" applyNumberFormat="1" applyFont="1" applyBorder="1"/>
    <xf numFmtId="10" fontId="13" fillId="0" borderId="9" xfId="3" applyNumberFormat="1" applyFont="1" applyBorder="1"/>
    <xf numFmtId="10" fontId="4" fillId="3" borderId="3" xfId="1" applyNumberFormat="1" applyFont="1" applyFill="1" applyBorder="1" applyAlignment="1">
      <alignment horizontal="right" vertical="center"/>
    </xf>
  </cellXfs>
  <cellStyles count="9">
    <cellStyle name="Moeda" xfId="2" builtinId="4"/>
    <cellStyle name="Moeda 2" xfId="7" xr:uid="{BE955803-CEAB-4EC9-8CC5-1F0429B96232}"/>
    <cellStyle name="Normal" xfId="0" builtinId="0"/>
    <cellStyle name="Normal 2" xfId="4" xr:uid="{9DEB1778-7A4A-4E23-B0AE-20CD52852540}"/>
    <cellStyle name="Normal 4" xfId="8" xr:uid="{233C1350-4791-4E18-BFA0-1314AF4A81C8}"/>
    <cellStyle name="Porcentagem" xfId="3" builtinId="5"/>
    <cellStyle name="Porcentagem 2" xfId="6" xr:uid="{ADB44EAA-C454-4673-BFE7-4076E1A3B94F}"/>
    <cellStyle name="Vírgula" xfId="1" builtinId="3"/>
    <cellStyle name="Vírgula 2" xfId="5" xr:uid="{3EFD1BE0-A93F-403D-B856-B685371C78EC}"/>
  </cellStyles>
  <dxfs count="6"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git-my.sharepoint.com/personal/fabio_baptista_engdb_com_br1/Documents/Clientes/Vivo/POC%20e-commerce/PSOL_v250221.r0.xlsb" TargetMode="External"/><Relationship Id="rId1" Type="http://schemas.openxmlformats.org/officeDocument/2006/relationships/externalLinkPath" Target="PSOL_v250221.r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MO Entregas"/>
      <sheetName val="Lista de Endereços"/>
      <sheetName val="SF - HW"/>
      <sheetName val="SF - SW"/>
      <sheetName val="SF - SV MENSAL"/>
      <sheetName val="SF - SV À VISTA"/>
      <sheetName val="OPEX CDT"/>
      <sheetName val="Instruções"/>
      <sheetName val="Estrutura da Planilha"/>
      <sheetName val="Controle"/>
      <sheetName val="Simulação PV"/>
      <sheetName val="Resumo OPEX"/>
      <sheetName val="Máscara Fornecedor"/>
      <sheetName val="Resumo CAPEX"/>
      <sheetName val="Ins+Mat Obra Civil"/>
      <sheetName val="Operação@TIS"/>
      <sheetName val="SGI TGS"/>
      <sheetName val="Precificador Hardware"/>
      <sheetName val="Precificador Software"/>
      <sheetName val="Precificador Serviços"/>
      <sheetName val="Tabela de Preços"/>
      <sheetName val="Tabela Fixa de Preços"/>
      <sheetName val="Tabela de Preços Sem IPI"/>
      <sheetName val="Tabela de Preços Agrupada"/>
      <sheetName val="Parâmetros da Proposta"/>
      <sheetName val="Proposta"/>
      <sheetName val="FC Hardware"/>
      <sheetName val="Resumo Anual Hardware"/>
      <sheetName val="FC Software"/>
      <sheetName val="Resumo Anual Software"/>
      <sheetName val="FC Serviços"/>
      <sheetName val="Resumo Anual Serviços"/>
      <sheetName val="FC Serviços TIS"/>
      <sheetName val="Resumo Anual Serviços TIS"/>
      <sheetName val="FC Rebate"/>
      <sheetName val="Resumo Anual UNIFICADO"/>
      <sheetName val="FC UNIFICADO"/>
      <sheetName val="RCTX"/>
      <sheetName val="FCTX"/>
      <sheetName val="OVERHEAD"/>
      <sheetName val="RA Comparativo"/>
      <sheetName val="RA STARLINK"/>
      <sheetName val="PARÂMETROS"/>
      <sheetName val="CdG"/>
      <sheetName val="Itens a Cadastrar"/>
      <sheetName val="TABELA 2025"/>
      <sheetName val="CF TIS"/>
      <sheetName val="INTERESTADUAL"/>
      <sheetName val="Conceitos Faturáveis"/>
      <sheetName val="Cruzamento CF"/>
      <sheetName val="LISTAS"/>
      <sheetName val="Consulta ao Tributário"/>
      <sheetName val="ServiceNow"/>
      <sheetName val="DIFAL por UF"/>
      <sheetName val="Controle de Versões"/>
      <sheetName val="CP x Margin"/>
      <sheetName val="CP x Markup"/>
      <sheetName val="NC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9">
          <cell r="C19">
            <v>4.1799999999999997E-2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D277-2690-40BF-B4E0-A85BDB9E2025}">
  <sheetPr codeName="Planilha1"/>
  <dimension ref="A2:CH44"/>
  <sheetViews>
    <sheetView tabSelected="1" zoomScale="80" zoomScaleNormal="80" workbookViewId="0">
      <pane xSplit="1" topLeftCell="B1" activePane="topRight" state="frozen"/>
      <selection pane="topRight" activeCell="C11" sqref="C11"/>
    </sheetView>
  </sheetViews>
  <sheetFormatPr defaultRowHeight="14.5" outlineLevelCol="1" x14ac:dyDescent="0.35"/>
  <cols>
    <col min="1" max="1" width="40.08984375" bestFit="1" customWidth="1"/>
    <col min="2" max="2" width="23.81640625" customWidth="1"/>
    <col min="3" max="3" width="16.90625" customWidth="1"/>
    <col min="4" max="5" width="11" customWidth="1"/>
    <col min="6" max="15" width="14.36328125" customWidth="1"/>
    <col min="16" max="81" width="14.36328125" customWidth="1" outlineLevel="1"/>
    <col min="82" max="82" width="14.36328125" customWidth="1"/>
    <col min="83" max="83" width="0" hidden="1" customWidth="1"/>
    <col min="84" max="84" width="4.90625" customWidth="1"/>
    <col min="85" max="85" width="18.6328125" bestFit="1" customWidth="1"/>
  </cols>
  <sheetData>
    <row r="2" spans="1:11" ht="15" x14ac:dyDescent="0.35">
      <c r="A2" s="5" t="s">
        <v>0</v>
      </c>
      <c r="B2" s="1">
        <v>0</v>
      </c>
      <c r="I2" s="47" t="s">
        <v>41</v>
      </c>
      <c r="J2" s="47"/>
      <c r="K2" s="47" t="s">
        <v>42</v>
      </c>
    </row>
    <row r="3" spans="1:11" ht="15" x14ac:dyDescent="0.35">
      <c r="A3" s="6" t="s">
        <v>1</v>
      </c>
      <c r="B3" s="2">
        <f>VLOOKUP(B6,I4:K7,3,1)</f>
        <v>0.224</v>
      </c>
      <c r="F3" t="s">
        <v>44</v>
      </c>
      <c r="I3" s="47" t="s">
        <v>39</v>
      </c>
      <c r="J3" s="47" t="s">
        <v>40</v>
      </c>
      <c r="K3" s="47"/>
    </row>
    <row r="4" spans="1:11" ht="15" x14ac:dyDescent="0.35">
      <c r="A4" s="6" t="s">
        <v>2</v>
      </c>
      <c r="B4" s="46">
        <f>(1+B3)^(1/12)-1</f>
        <v>1.6986336636870991E-2</v>
      </c>
      <c r="I4" s="47">
        <v>1</v>
      </c>
      <c r="J4" s="47">
        <v>36</v>
      </c>
      <c r="K4" s="48">
        <v>0.184</v>
      </c>
    </row>
    <row r="5" spans="1:11" ht="15" x14ac:dyDescent="0.35">
      <c r="A5" s="6" t="s">
        <v>3</v>
      </c>
      <c r="B5" s="7">
        <v>60</v>
      </c>
      <c r="I5" s="47">
        <v>37</v>
      </c>
      <c r="J5" s="47">
        <v>48</v>
      </c>
      <c r="K5" s="48">
        <v>0.20399999999999999</v>
      </c>
    </row>
    <row r="6" spans="1:11" ht="15" x14ac:dyDescent="0.35">
      <c r="A6" s="6" t="s">
        <v>4</v>
      </c>
      <c r="B6" s="7">
        <v>60</v>
      </c>
      <c r="I6" s="47">
        <v>49</v>
      </c>
      <c r="J6" s="47">
        <v>60</v>
      </c>
      <c r="K6" s="48">
        <v>0.224</v>
      </c>
    </row>
    <row r="7" spans="1:11" ht="15" x14ac:dyDescent="0.35">
      <c r="A7" s="6" t="s">
        <v>7</v>
      </c>
      <c r="B7" s="25">
        <f ca="1">SUM(C42:CD42)</f>
        <v>48590.720927493327</v>
      </c>
      <c r="C7" t="s">
        <v>26</v>
      </c>
      <c r="I7" s="47">
        <v>61</v>
      </c>
      <c r="J7" s="47">
        <v>120</v>
      </c>
      <c r="K7" s="48">
        <v>0.28000000000000003</v>
      </c>
    </row>
    <row r="8" spans="1:11" ht="15" x14ac:dyDescent="0.35">
      <c r="A8" s="8" t="s">
        <v>5</v>
      </c>
      <c r="B8" s="55">
        <f ca="1">CG38</f>
        <v>0.28819999999999996</v>
      </c>
      <c r="C8" t="s">
        <v>26</v>
      </c>
    </row>
    <row r="9" spans="1:11" ht="15" x14ac:dyDescent="0.35">
      <c r="A9" s="8" t="s">
        <v>6</v>
      </c>
      <c r="B9" s="30">
        <f ca="1">IF(MIN($C$44:$CD$44)=120,"Não retorna",MIN($C$44:$CD$44))</f>
        <v>3</v>
      </c>
    </row>
    <row r="10" spans="1:11" ht="15" x14ac:dyDescent="0.35">
      <c r="A10" s="6" t="s">
        <v>8</v>
      </c>
      <c r="B10" s="3">
        <f ca="1">IFERROR(IRR(C40:I40,0.02),"0")</f>
        <v>0.147183435369314</v>
      </c>
    </row>
    <row r="11" spans="1:11" ht="15" x14ac:dyDescent="0.35">
      <c r="A11" s="6" t="s">
        <v>9</v>
      </c>
      <c r="B11" s="3">
        <f ca="1">IF(ISERROR((1+B10)^12-1),"-",((1+B10)^12-1))</f>
        <v>4.1951059497859022</v>
      </c>
    </row>
    <row r="12" spans="1:11" ht="15" x14ac:dyDescent="0.35">
      <c r="A12" s="6" t="s">
        <v>10</v>
      </c>
      <c r="B12" s="4">
        <v>8.0440930904931554E-2</v>
      </c>
    </row>
    <row r="13" spans="1:11" ht="15" x14ac:dyDescent="0.35">
      <c r="A13" s="6" t="s">
        <v>11</v>
      </c>
      <c r="B13" s="11">
        <v>263216.3</v>
      </c>
      <c r="C13" t="s">
        <v>29</v>
      </c>
    </row>
    <row r="14" spans="1:11" ht="15.5" x14ac:dyDescent="0.35">
      <c r="A14" s="10" t="s">
        <v>12</v>
      </c>
      <c r="B14" s="22">
        <v>90</v>
      </c>
      <c r="C14" t="s">
        <v>29</v>
      </c>
    </row>
    <row r="15" spans="1:11" ht="15.5" x14ac:dyDescent="0.35">
      <c r="A15" s="9" t="s">
        <v>30</v>
      </c>
      <c r="B15" s="23">
        <v>105286.52</v>
      </c>
      <c r="C15" t="s">
        <v>29</v>
      </c>
    </row>
    <row r="16" spans="1:11" ht="15.5" x14ac:dyDescent="0.35">
      <c r="A16" s="9" t="s">
        <v>31</v>
      </c>
      <c r="B16" s="23">
        <v>0</v>
      </c>
      <c r="C16" t="s">
        <v>29</v>
      </c>
    </row>
    <row r="17" spans="1:86" ht="15.5" x14ac:dyDescent="0.35">
      <c r="A17" s="9" t="s">
        <v>17</v>
      </c>
      <c r="B17" s="24">
        <f>B15+B16</f>
        <v>105286.52</v>
      </c>
    </row>
    <row r="18" spans="1:86" ht="15.5" x14ac:dyDescent="0.35">
      <c r="A18" s="9" t="s">
        <v>16</v>
      </c>
      <c r="B18" s="23">
        <v>65804.08</v>
      </c>
      <c r="C18" t="s">
        <v>29</v>
      </c>
      <c r="D18" s="39">
        <v>0.25</v>
      </c>
    </row>
    <row r="19" spans="1:86" ht="15.5" x14ac:dyDescent="0.35">
      <c r="A19" s="9" t="s">
        <v>32</v>
      </c>
      <c r="B19" s="24">
        <f ca="1">SUM(C37:CD37)</f>
        <v>56894.203244999982</v>
      </c>
      <c r="C19" t="s">
        <v>26</v>
      </c>
    </row>
    <row r="20" spans="1:86" ht="15.5" x14ac:dyDescent="0.35">
      <c r="A20" s="31" t="s">
        <v>30</v>
      </c>
      <c r="B20" s="40">
        <v>0</v>
      </c>
    </row>
    <row r="21" spans="1:86" ht="15.5" x14ac:dyDescent="0.35">
      <c r="A21" s="32" t="s">
        <v>33</v>
      </c>
      <c r="B21" s="41">
        <v>60</v>
      </c>
    </row>
    <row r="22" spans="1:86" x14ac:dyDescent="0.35">
      <c r="C22" s="28">
        <v>0</v>
      </c>
      <c r="D22" s="28">
        <v>1</v>
      </c>
      <c r="E22" s="28">
        <v>2</v>
      </c>
      <c r="F22" s="28">
        <v>3</v>
      </c>
      <c r="G22" s="28">
        <v>4</v>
      </c>
      <c r="H22" s="28">
        <v>5</v>
      </c>
      <c r="I22" s="28">
        <v>6</v>
      </c>
      <c r="J22" s="28">
        <f>I22+1</f>
        <v>7</v>
      </c>
      <c r="K22" s="28">
        <f t="shared" ref="K22:BV22" si="0">J22+1</f>
        <v>8</v>
      </c>
      <c r="L22" s="28">
        <f t="shared" si="0"/>
        <v>9</v>
      </c>
      <c r="M22" s="28">
        <f t="shared" si="0"/>
        <v>10</v>
      </c>
      <c r="N22" s="28">
        <f t="shared" si="0"/>
        <v>11</v>
      </c>
      <c r="O22" s="28">
        <f t="shared" si="0"/>
        <v>12</v>
      </c>
      <c r="P22" s="28">
        <f t="shared" si="0"/>
        <v>13</v>
      </c>
      <c r="Q22" s="28">
        <f t="shared" si="0"/>
        <v>14</v>
      </c>
      <c r="R22" s="28">
        <f t="shared" si="0"/>
        <v>15</v>
      </c>
      <c r="S22" s="28">
        <f t="shared" si="0"/>
        <v>16</v>
      </c>
      <c r="T22" s="28">
        <f t="shared" si="0"/>
        <v>17</v>
      </c>
      <c r="U22" s="28">
        <f t="shared" si="0"/>
        <v>18</v>
      </c>
      <c r="V22" s="28">
        <f t="shared" si="0"/>
        <v>19</v>
      </c>
      <c r="W22" s="28">
        <f t="shared" si="0"/>
        <v>20</v>
      </c>
      <c r="X22" s="28">
        <f t="shared" si="0"/>
        <v>21</v>
      </c>
      <c r="Y22" s="28">
        <f t="shared" si="0"/>
        <v>22</v>
      </c>
      <c r="Z22" s="28">
        <f t="shared" si="0"/>
        <v>23</v>
      </c>
      <c r="AA22" s="28">
        <f t="shared" si="0"/>
        <v>24</v>
      </c>
      <c r="AB22" s="28">
        <f t="shared" si="0"/>
        <v>25</v>
      </c>
      <c r="AC22" s="28">
        <f t="shared" si="0"/>
        <v>26</v>
      </c>
      <c r="AD22" s="28">
        <f t="shared" si="0"/>
        <v>27</v>
      </c>
      <c r="AE22" s="28">
        <f t="shared" si="0"/>
        <v>28</v>
      </c>
      <c r="AF22" s="28">
        <f t="shared" si="0"/>
        <v>29</v>
      </c>
      <c r="AG22" s="28">
        <f t="shared" si="0"/>
        <v>30</v>
      </c>
      <c r="AH22" s="28">
        <f t="shared" si="0"/>
        <v>31</v>
      </c>
      <c r="AI22" s="28">
        <f t="shared" si="0"/>
        <v>32</v>
      </c>
      <c r="AJ22" s="28">
        <f t="shared" si="0"/>
        <v>33</v>
      </c>
      <c r="AK22" s="28">
        <f t="shared" si="0"/>
        <v>34</v>
      </c>
      <c r="AL22" s="28">
        <f t="shared" si="0"/>
        <v>35</v>
      </c>
      <c r="AM22" s="28">
        <f t="shared" si="0"/>
        <v>36</v>
      </c>
      <c r="AN22" s="28">
        <f t="shared" si="0"/>
        <v>37</v>
      </c>
      <c r="AO22" s="28">
        <f t="shared" si="0"/>
        <v>38</v>
      </c>
      <c r="AP22" s="28">
        <f t="shared" si="0"/>
        <v>39</v>
      </c>
      <c r="AQ22" s="28">
        <f t="shared" si="0"/>
        <v>40</v>
      </c>
      <c r="AR22" s="28">
        <f t="shared" si="0"/>
        <v>41</v>
      </c>
      <c r="AS22" s="28">
        <f t="shared" si="0"/>
        <v>42</v>
      </c>
      <c r="AT22" s="28">
        <f t="shared" si="0"/>
        <v>43</v>
      </c>
      <c r="AU22" s="28">
        <f t="shared" si="0"/>
        <v>44</v>
      </c>
      <c r="AV22" s="28">
        <f t="shared" si="0"/>
        <v>45</v>
      </c>
      <c r="AW22" s="28">
        <f t="shared" si="0"/>
        <v>46</v>
      </c>
      <c r="AX22" s="28">
        <f t="shared" si="0"/>
        <v>47</v>
      </c>
      <c r="AY22" s="28">
        <f t="shared" si="0"/>
        <v>48</v>
      </c>
      <c r="AZ22" s="28">
        <f t="shared" si="0"/>
        <v>49</v>
      </c>
      <c r="BA22" s="28">
        <f t="shared" si="0"/>
        <v>50</v>
      </c>
      <c r="BB22" s="28">
        <f t="shared" si="0"/>
        <v>51</v>
      </c>
      <c r="BC22" s="28">
        <f t="shared" si="0"/>
        <v>52</v>
      </c>
      <c r="BD22" s="28">
        <f t="shared" si="0"/>
        <v>53</v>
      </c>
      <c r="BE22" s="28">
        <f t="shared" si="0"/>
        <v>54</v>
      </c>
      <c r="BF22" s="28">
        <f t="shared" si="0"/>
        <v>55</v>
      </c>
      <c r="BG22" s="28">
        <f t="shared" si="0"/>
        <v>56</v>
      </c>
      <c r="BH22" s="28">
        <f t="shared" si="0"/>
        <v>57</v>
      </c>
      <c r="BI22" s="28">
        <f t="shared" si="0"/>
        <v>58</v>
      </c>
      <c r="BJ22" s="28">
        <f t="shared" si="0"/>
        <v>59</v>
      </c>
      <c r="BK22" s="28">
        <f t="shared" si="0"/>
        <v>60</v>
      </c>
      <c r="BL22" s="28">
        <f t="shared" si="0"/>
        <v>61</v>
      </c>
      <c r="BM22" s="28">
        <f t="shared" si="0"/>
        <v>62</v>
      </c>
      <c r="BN22" s="28">
        <f t="shared" si="0"/>
        <v>63</v>
      </c>
      <c r="BO22" s="28">
        <f t="shared" si="0"/>
        <v>64</v>
      </c>
      <c r="BP22" s="28">
        <f t="shared" si="0"/>
        <v>65</v>
      </c>
      <c r="BQ22" s="28">
        <f t="shared" si="0"/>
        <v>66</v>
      </c>
      <c r="BR22" s="28">
        <f t="shared" si="0"/>
        <v>67</v>
      </c>
      <c r="BS22" s="28">
        <f t="shared" si="0"/>
        <v>68</v>
      </c>
      <c r="BT22" s="28">
        <f t="shared" si="0"/>
        <v>69</v>
      </c>
      <c r="BU22" s="28">
        <f t="shared" si="0"/>
        <v>70</v>
      </c>
      <c r="BV22" s="28">
        <f t="shared" si="0"/>
        <v>71</v>
      </c>
      <c r="BW22" s="28">
        <f t="shared" ref="BW22:CD22" si="1">BV22+1</f>
        <v>72</v>
      </c>
      <c r="BX22" s="28">
        <f t="shared" si="1"/>
        <v>73</v>
      </c>
      <c r="BY22" s="28">
        <f t="shared" si="1"/>
        <v>74</v>
      </c>
      <c r="BZ22" s="28">
        <f t="shared" si="1"/>
        <v>75</v>
      </c>
      <c r="CA22" s="28">
        <f t="shared" si="1"/>
        <v>76</v>
      </c>
      <c r="CB22" s="28">
        <f t="shared" si="1"/>
        <v>77</v>
      </c>
      <c r="CC22" s="28">
        <f t="shared" si="1"/>
        <v>78</v>
      </c>
      <c r="CD22" s="28">
        <f t="shared" si="1"/>
        <v>79</v>
      </c>
    </row>
    <row r="23" spans="1:86" x14ac:dyDescent="0.35">
      <c r="C23" s="28">
        <v>0</v>
      </c>
      <c r="D23" s="28">
        <v>30</v>
      </c>
      <c r="E23" s="28">
        <f>D23+30</f>
        <v>60</v>
      </c>
      <c r="F23" s="28">
        <f t="shared" ref="F23:I23" si="2">E23+30</f>
        <v>90</v>
      </c>
      <c r="G23" s="28">
        <f t="shared" si="2"/>
        <v>120</v>
      </c>
      <c r="H23" s="28">
        <f t="shared" si="2"/>
        <v>150</v>
      </c>
      <c r="I23" s="28">
        <f t="shared" si="2"/>
        <v>180</v>
      </c>
      <c r="J23" s="28">
        <f t="shared" ref="J23" si="3">I23+30</f>
        <v>210</v>
      </c>
      <c r="K23" s="28">
        <f t="shared" ref="K23" si="4">J23+30</f>
        <v>240</v>
      </c>
      <c r="L23" s="28">
        <f t="shared" ref="L23" si="5">K23+30</f>
        <v>270</v>
      </c>
      <c r="M23" s="28">
        <f t="shared" ref="M23" si="6">L23+30</f>
        <v>300</v>
      </c>
      <c r="N23" s="28">
        <f t="shared" ref="N23" si="7">M23+30</f>
        <v>330</v>
      </c>
      <c r="O23" s="28">
        <f t="shared" ref="O23" si="8">N23+30</f>
        <v>360</v>
      </c>
      <c r="P23" s="28">
        <f t="shared" ref="P23" si="9">O23+30</f>
        <v>390</v>
      </c>
      <c r="Q23" s="28">
        <f t="shared" ref="Q23" si="10">P23+30</f>
        <v>420</v>
      </c>
      <c r="R23" s="28">
        <f t="shared" ref="R23" si="11">Q23+30</f>
        <v>450</v>
      </c>
      <c r="S23" s="28">
        <f t="shared" ref="S23" si="12">R23+30</f>
        <v>480</v>
      </c>
      <c r="T23" s="28">
        <f t="shared" ref="T23" si="13">S23+30</f>
        <v>510</v>
      </c>
      <c r="U23" s="28">
        <f t="shared" ref="U23" si="14">T23+30</f>
        <v>540</v>
      </c>
      <c r="V23" s="28">
        <f t="shared" ref="V23" si="15">U23+30</f>
        <v>570</v>
      </c>
      <c r="W23" s="28">
        <f t="shared" ref="W23" si="16">V23+30</f>
        <v>600</v>
      </c>
      <c r="X23" s="28">
        <f t="shared" ref="X23" si="17">W23+30</f>
        <v>630</v>
      </c>
      <c r="Y23" s="28">
        <f t="shared" ref="Y23" si="18">X23+30</f>
        <v>660</v>
      </c>
      <c r="Z23" s="28">
        <f t="shared" ref="Z23" si="19">Y23+30</f>
        <v>690</v>
      </c>
      <c r="AA23" s="28">
        <f t="shared" ref="AA23" si="20">Z23+30</f>
        <v>720</v>
      </c>
      <c r="AB23" s="28">
        <f t="shared" ref="AB23" si="21">AA23+30</f>
        <v>750</v>
      </c>
      <c r="AC23" s="28">
        <f t="shared" ref="AC23" si="22">AB23+30</f>
        <v>780</v>
      </c>
      <c r="AD23" s="28">
        <f t="shared" ref="AD23" si="23">AC23+30</f>
        <v>810</v>
      </c>
      <c r="AE23" s="28">
        <f t="shared" ref="AE23" si="24">AD23+30</f>
        <v>840</v>
      </c>
      <c r="AF23" s="28">
        <f t="shared" ref="AF23" si="25">AE23+30</f>
        <v>870</v>
      </c>
      <c r="AG23" s="28">
        <f t="shared" ref="AG23" si="26">AF23+30</f>
        <v>900</v>
      </c>
      <c r="AH23" s="28">
        <f t="shared" ref="AH23" si="27">AG23+30</f>
        <v>930</v>
      </c>
      <c r="AI23" s="28">
        <f t="shared" ref="AI23" si="28">AH23+30</f>
        <v>960</v>
      </c>
      <c r="AJ23" s="28">
        <f t="shared" ref="AJ23" si="29">AI23+30</f>
        <v>990</v>
      </c>
      <c r="AK23" s="28">
        <f t="shared" ref="AK23" si="30">AJ23+30</f>
        <v>1020</v>
      </c>
      <c r="AL23" s="28">
        <f t="shared" ref="AL23" si="31">AK23+30</f>
        <v>1050</v>
      </c>
      <c r="AM23" s="28">
        <f t="shared" ref="AM23" si="32">AL23+30</f>
        <v>1080</v>
      </c>
      <c r="AN23" s="28">
        <f t="shared" ref="AN23" si="33">AM23+30</f>
        <v>1110</v>
      </c>
      <c r="AO23" s="28">
        <f t="shared" ref="AO23" si="34">AN23+30</f>
        <v>1140</v>
      </c>
      <c r="AP23" s="28">
        <f t="shared" ref="AP23" si="35">AO23+30</f>
        <v>1170</v>
      </c>
      <c r="AQ23" s="28">
        <f t="shared" ref="AQ23" si="36">AP23+30</f>
        <v>1200</v>
      </c>
      <c r="AR23" s="28">
        <f t="shared" ref="AR23" si="37">AQ23+30</f>
        <v>1230</v>
      </c>
      <c r="AS23" s="28">
        <f t="shared" ref="AS23" si="38">AR23+30</f>
        <v>1260</v>
      </c>
      <c r="AT23" s="28">
        <f t="shared" ref="AT23" si="39">AS23+30</f>
        <v>1290</v>
      </c>
      <c r="AU23" s="28">
        <f t="shared" ref="AU23" si="40">AT23+30</f>
        <v>1320</v>
      </c>
      <c r="AV23" s="28">
        <f t="shared" ref="AV23" si="41">AU23+30</f>
        <v>1350</v>
      </c>
      <c r="AW23" s="28">
        <f t="shared" ref="AW23" si="42">AV23+30</f>
        <v>1380</v>
      </c>
      <c r="AX23" s="28">
        <f t="shared" ref="AX23" si="43">AW23+30</f>
        <v>1410</v>
      </c>
      <c r="AY23" s="28">
        <f t="shared" ref="AY23" si="44">AX23+30</f>
        <v>1440</v>
      </c>
      <c r="AZ23" s="28">
        <f t="shared" ref="AZ23" si="45">AY23+30</f>
        <v>1470</v>
      </c>
      <c r="BA23" s="28">
        <f t="shared" ref="BA23" si="46">AZ23+30</f>
        <v>1500</v>
      </c>
      <c r="BB23" s="28">
        <f t="shared" ref="BB23" si="47">BA23+30</f>
        <v>1530</v>
      </c>
      <c r="BC23" s="28">
        <f t="shared" ref="BC23" si="48">BB23+30</f>
        <v>1560</v>
      </c>
      <c r="BD23" s="28">
        <f t="shared" ref="BD23" si="49">BC23+30</f>
        <v>1590</v>
      </c>
      <c r="BE23" s="28">
        <f t="shared" ref="BE23" si="50">BD23+30</f>
        <v>1620</v>
      </c>
      <c r="BF23" s="28">
        <f t="shared" ref="BF23" si="51">BE23+30</f>
        <v>1650</v>
      </c>
      <c r="BG23" s="28">
        <f t="shared" ref="BG23" si="52">BF23+30</f>
        <v>1680</v>
      </c>
      <c r="BH23" s="28">
        <f t="shared" ref="BH23" si="53">BG23+30</f>
        <v>1710</v>
      </c>
      <c r="BI23" s="28">
        <f t="shared" ref="BI23" si="54">BH23+30</f>
        <v>1740</v>
      </c>
      <c r="BJ23" s="28">
        <f t="shared" ref="BJ23" si="55">BI23+30</f>
        <v>1770</v>
      </c>
      <c r="BK23" s="28">
        <f t="shared" ref="BK23" si="56">BJ23+30</f>
        <v>1800</v>
      </c>
      <c r="BL23" s="28">
        <f t="shared" ref="BL23" si="57">BK23+30</f>
        <v>1830</v>
      </c>
      <c r="BM23" s="28">
        <f t="shared" ref="BM23" si="58">BL23+30</f>
        <v>1860</v>
      </c>
      <c r="BN23" s="28">
        <f t="shared" ref="BN23" si="59">BM23+30</f>
        <v>1890</v>
      </c>
      <c r="BO23" s="28">
        <f t="shared" ref="BO23" si="60">BN23+30</f>
        <v>1920</v>
      </c>
      <c r="BP23" s="28">
        <f t="shared" ref="BP23" si="61">BO23+30</f>
        <v>1950</v>
      </c>
      <c r="BQ23" s="28">
        <f t="shared" ref="BQ23" si="62">BP23+30</f>
        <v>1980</v>
      </c>
      <c r="BR23" s="28">
        <f t="shared" ref="BR23" si="63">BQ23+30</f>
        <v>2010</v>
      </c>
      <c r="BS23" s="28">
        <f t="shared" ref="BS23" si="64">BR23+30</f>
        <v>2040</v>
      </c>
      <c r="BT23" s="28">
        <f t="shared" ref="BT23" si="65">BS23+30</f>
        <v>2070</v>
      </c>
      <c r="BU23" s="28">
        <f t="shared" ref="BU23" si="66">BT23+30</f>
        <v>2100</v>
      </c>
      <c r="BV23" s="28">
        <f t="shared" ref="BV23" si="67">BU23+30</f>
        <v>2130</v>
      </c>
      <c r="BW23" s="28">
        <f t="shared" ref="BW23" si="68">BV23+30</f>
        <v>2160</v>
      </c>
      <c r="BX23" s="28">
        <f t="shared" ref="BX23" si="69">BW23+30</f>
        <v>2190</v>
      </c>
      <c r="BY23" s="28">
        <f t="shared" ref="BY23" si="70">BX23+30</f>
        <v>2220</v>
      </c>
      <c r="BZ23" s="28">
        <f t="shared" ref="BZ23" si="71">BY23+30</f>
        <v>2250</v>
      </c>
      <c r="CA23" s="28">
        <f t="shared" ref="CA23" si="72">BZ23+30</f>
        <v>2280</v>
      </c>
      <c r="CB23" s="28">
        <f t="shared" ref="CB23" si="73">CA23+30</f>
        <v>2310</v>
      </c>
      <c r="CC23" s="28">
        <f t="shared" ref="CC23" si="74">CB23+30</f>
        <v>2340</v>
      </c>
      <c r="CD23" s="28">
        <f t="shared" ref="CD23" si="75">CC23+30</f>
        <v>2370</v>
      </c>
    </row>
    <row r="24" spans="1:86" ht="15" x14ac:dyDescent="0.35">
      <c r="C24" s="29">
        <f>C22</f>
        <v>0</v>
      </c>
      <c r="D24" s="29">
        <f t="shared" ref="D24:BO24" si="76">D22</f>
        <v>1</v>
      </c>
      <c r="E24" s="29">
        <f t="shared" si="76"/>
        <v>2</v>
      </c>
      <c r="F24" s="29">
        <f t="shared" si="76"/>
        <v>3</v>
      </c>
      <c r="G24" s="29">
        <f t="shared" si="76"/>
        <v>4</v>
      </c>
      <c r="H24" s="29">
        <f t="shared" si="76"/>
        <v>5</v>
      </c>
      <c r="I24" s="29">
        <f t="shared" si="76"/>
        <v>6</v>
      </c>
      <c r="J24" s="29">
        <f t="shared" si="76"/>
        <v>7</v>
      </c>
      <c r="K24" s="29">
        <f t="shared" si="76"/>
        <v>8</v>
      </c>
      <c r="L24" s="29">
        <f t="shared" si="76"/>
        <v>9</v>
      </c>
      <c r="M24" s="29">
        <f t="shared" si="76"/>
        <v>10</v>
      </c>
      <c r="N24" s="29">
        <f t="shared" si="76"/>
        <v>11</v>
      </c>
      <c r="O24" s="29">
        <f t="shared" si="76"/>
        <v>12</v>
      </c>
      <c r="P24" s="29">
        <f t="shared" si="76"/>
        <v>13</v>
      </c>
      <c r="Q24" s="29">
        <f t="shared" si="76"/>
        <v>14</v>
      </c>
      <c r="R24" s="29">
        <f t="shared" si="76"/>
        <v>15</v>
      </c>
      <c r="S24" s="29">
        <f t="shared" si="76"/>
        <v>16</v>
      </c>
      <c r="T24" s="29">
        <f t="shared" si="76"/>
        <v>17</v>
      </c>
      <c r="U24" s="29">
        <f t="shared" si="76"/>
        <v>18</v>
      </c>
      <c r="V24" s="29">
        <f t="shared" si="76"/>
        <v>19</v>
      </c>
      <c r="W24" s="29">
        <f t="shared" si="76"/>
        <v>20</v>
      </c>
      <c r="X24" s="29">
        <f t="shared" si="76"/>
        <v>21</v>
      </c>
      <c r="Y24" s="29">
        <f t="shared" si="76"/>
        <v>22</v>
      </c>
      <c r="Z24" s="29">
        <f t="shared" si="76"/>
        <v>23</v>
      </c>
      <c r="AA24" s="29">
        <f t="shared" si="76"/>
        <v>24</v>
      </c>
      <c r="AB24" s="29">
        <f t="shared" si="76"/>
        <v>25</v>
      </c>
      <c r="AC24" s="29">
        <f t="shared" si="76"/>
        <v>26</v>
      </c>
      <c r="AD24" s="29">
        <f t="shared" si="76"/>
        <v>27</v>
      </c>
      <c r="AE24" s="29">
        <f t="shared" si="76"/>
        <v>28</v>
      </c>
      <c r="AF24" s="29">
        <f t="shared" si="76"/>
        <v>29</v>
      </c>
      <c r="AG24" s="29">
        <f t="shared" si="76"/>
        <v>30</v>
      </c>
      <c r="AH24" s="29">
        <f t="shared" si="76"/>
        <v>31</v>
      </c>
      <c r="AI24" s="29">
        <f t="shared" si="76"/>
        <v>32</v>
      </c>
      <c r="AJ24" s="29">
        <f t="shared" si="76"/>
        <v>33</v>
      </c>
      <c r="AK24" s="29">
        <f t="shared" si="76"/>
        <v>34</v>
      </c>
      <c r="AL24" s="29">
        <f t="shared" si="76"/>
        <v>35</v>
      </c>
      <c r="AM24" s="29">
        <f t="shared" si="76"/>
        <v>36</v>
      </c>
      <c r="AN24" s="29">
        <f t="shared" si="76"/>
        <v>37</v>
      </c>
      <c r="AO24" s="29">
        <f t="shared" si="76"/>
        <v>38</v>
      </c>
      <c r="AP24" s="29">
        <f t="shared" si="76"/>
        <v>39</v>
      </c>
      <c r="AQ24" s="29">
        <f t="shared" si="76"/>
        <v>40</v>
      </c>
      <c r="AR24" s="29">
        <f t="shared" si="76"/>
        <v>41</v>
      </c>
      <c r="AS24" s="29">
        <f t="shared" si="76"/>
        <v>42</v>
      </c>
      <c r="AT24" s="29">
        <f t="shared" si="76"/>
        <v>43</v>
      </c>
      <c r="AU24" s="29">
        <f t="shared" si="76"/>
        <v>44</v>
      </c>
      <c r="AV24" s="29">
        <f t="shared" si="76"/>
        <v>45</v>
      </c>
      <c r="AW24" s="29">
        <f t="shared" si="76"/>
        <v>46</v>
      </c>
      <c r="AX24" s="29">
        <f t="shared" si="76"/>
        <v>47</v>
      </c>
      <c r="AY24" s="29">
        <f t="shared" si="76"/>
        <v>48</v>
      </c>
      <c r="AZ24" s="29">
        <f t="shared" si="76"/>
        <v>49</v>
      </c>
      <c r="BA24" s="29">
        <f t="shared" si="76"/>
        <v>50</v>
      </c>
      <c r="BB24" s="29">
        <f t="shared" si="76"/>
        <v>51</v>
      </c>
      <c r="BC24" s="29">
        <f t="shared" si="76"/>
        <v>52</v>
      </c>
      <c r="BD24" s="29">
        <f t="shared" si="76"/>
        <v>53</v>
      </c>
      <c r="BE24" s="29">
        <f t="shared" si="76"/>
        <v>54</v>
      </c>
      <c r="BF24" s="29">
        <f t="shared" si="76"/>
        <v>55</v>
      </c>
      <c r="BG24" s="29">
        <f t="shared" si="76"/>
        <v>56</v>
      </c>
      <c r="BH24" s="29">
        <f t="shared" si="76"/>
        <v>57</v>
      </c>
      <c r="BI24" s="29">
        <f t="shared" si="76"/>
        <v>58</v>
      </c>
      <c r="BJ24" s="29">
        <f t="shared" si="76"/>
        <v>59</v>
      </c>
      <c r="BK24" s="29">
        <f t="shared" si="76"/>
        <v>60</v>
      </c>
      <c r="BL24" s="29">
        <f t="shared" si="76"/>
        <v>61</v>
      </c>
      <c r="BM24" s="29">
        <f t="shared" si="76"/>
        <v>62</v>
      </c>
      <c r="BN24" s="29">
        <f t="shared" si="76"/>
        <v>63</v>
      </c>
      <c r="BO24" s="29">
        <f t="shared" si="76"/>
        <v>64</v>
      </c>
      <c r="BP24" s="29">
        <f t="shared" ref="BP24:CD24" si="77">BP22</f>
        <v>65</v>
      </c>
      <c r="BQ24" s="29">
        <f t="shared" si="77"/>
        <v>66</v>
      </c>
      <c r="BR24" s="29">
        <f t="shared" si="77"/>
        <v>67</v>
      </c>
      <c r="BS24" s="29">
        <f t="shared" si="77"/>
        <v>68</v>
      </c>
      <c r="BT24" s="29">
        <f t="shared" si="77"/>
        <v>69</v>
      </c>
      <c r="BU24" s="29">
        <f t="shared" si="77"/>
        <v>70</v>
      </c>
      <c r="BV24" s="29">
        <f t="shared" si="77"/>
        <v>71</v>
      </c>
      <c r="BW24" s="29">
        <f t="shared" si="77"/>
        <v>72</v>
      </c>
      <c r="BX24" s="29">
        <f t="shared" si="77"/>
        <v>73</v>
      </c>
      <c r="BY24" s="29">
        <f t="shared" si="77"/>
        <v>74</v>
      </c>
      <c r="BZ24" s="29">
        <f t="shared" si="77"/>
        <v>75</v>
      </c>
      <c r="CA24" s="29">
        <f t="shared" si="77"/>
        <v>76</v>
      </c>
      <c r="CB24" s="29">
        <f t="shared" si="77"/>
        <v>77</v>
      </c>
      <c r="CC24" s="29">
        <f t="shared" si="77"/>
        <v>78</v>
      </c>
      <c r="CD24" s="29">
        <f t="shared" si="77"/>
        <v>79</v>
      </c>
      <c r="CG24" s="52" t="s">
        <v>43</v>
      </c>
    </row>
    <row r="25" spans="1:86" ht="15" x14ac:dyDescent="0.35">
      <c r="A25" s="9" t="s">
        <v>15</v>
      </c>
      <c r="C25" s="45"/>
      <c r="D25" s="45">
        <f t="shared" ref="D25:I25" si="78">IF(AND($B$14&lt;=D23,$B$14&gt;C23),$B$13,0)</f>
        <v>0</v>
      </c>
      <c r="E25" s="45">
        <f t="shared" si="78"/>
        <v>0</v>
      </c>
      <c r="F25" s="45">
        <f t="shared" si="78"/>
        <v>263216.3</v>
      </c>
      <c r="G25" s="45">
        <f t="shared" si="78"/>
        <v>0</v>
      </c>
      <c r="H25" s="45">
        <f t="shared" si="78"/>
        <v>0</v>
      </c>
      <c r="I25" s="45">
        <f t="shared" si="78"/>
        <v>0</v>
      </c>
      <c r="J25" s="45">
        <f t="shared" ref="J25" si="79">IF(AND($B$14&lt;=J23,$B$14&gt;I23),$B$13,0)</f>
        <v>0</v>
      </c>
      <c r="K25" s="45">
        <f t="shared" ref="K25" si="80">IF(AND($B$14&lt;=K23,$B$14&gt;J23),$B$13,0)</f>
        <v>0</v>
      </c>
      <c r="L25" s="45">
        <f t="shared" ref="L25" si="81">IF(AND($B$14&lt;=L23,$B$14&gt;K23),$B$13,0)</f>
        <v>0</v>
      </c>
      <c r="M25" s="45">
        <f t="shared" ref="M25" si="82">IF(AND($B$14&lt;=M23,$B$14&gt;L23),$B$13,0)</f>
        <v>0</v>
      </c>
      <c r="N25" s="45">
        <f t="shared" ref="N25" si="83">IF(AND($B$14&lt;=N23,$B$14&gt;M23),$B$13,0)</f>
        <v>0</v>
      </c>
      <c r="O25" s="45">
        <f t="shared" ref="O25" si="84">IF(AND($B$14&lt;=O23,$B$14&gt;N23),$B$13,0)</f>
        <v>0</v>
      </c>
      <c r="P25" s="45">
        <f t="shared" ref="P25" si="85">IF(AND($B$14&lt;=P23,$B$14&gt;O23),$B$13,0)</f>
        <v>0</v>
      </c>
      <c r="Q25" s="45">
        <f t="shared" ref="Q25" si="86">IF(AND($B$14&lt;=Q23,$B$14&gt;P23),$B$13,0)</f>
        <v>0</v>
      </c>
      <c r="R25" s="45">
        <f t="shared" ref="R25" si="87">IF(AND($B$14&lt;=R23,$B$14&gt;Q23),$B$13,0)</f>
        <v>0</v>
      </c>
      <c r="S25" s="45">
        <f t="shared" ref="S25" si="88">IF(AND($B$14&lt;=S23,$B$14&gt;R23),$B$13,0)</f>
        <v>0</v>
      </c>
      <c r="T25" s="45">
        <f t="shared" ref="T25" si="89">IF(AND($B$14&lt;=T23,$B$14&gt;S23),$B$13,0)</f>
        <v>0</v>
      </c>
      <c r="U25" s="45">
        <f t="shared" ref="U25" si="90">IF(AND($B$14&lt;=U23,$B$14&gt;T23),$B$13,0)</f>
        <v>0</v>
      </c>
      <c r="V25" s="45">
        <f t="shared" ref="V25" si="91">IF(AND($B$14&lt;=V23,$B$14&gt;U23),$B$13,0)</f>
        <v>0</v>
      </c>
      <c r="W25" s="45">
        <f t="shared" ref="W25" si="92">IF(AND($B$14&lt;=W23,$B$14&gt;V23),$B$13,0)</f>
        <v>0</v>
      </c>
      <c r="X25" s="45">
        <f t="shared" ref="X25" si="93">IF(AND($B$14&lt;=X23,$B$14&gt;W23),$B$13,0)</f>
        <v>0</v>
      </c>
      <c r="Y25" s="45">
        <f t="shared" ref="Y25" si="94">IF(AND($B$14&lt;=Y23,$B$14&gt;X23),$B$13,0)</f>
        <v>0</v>
      </c>
      <c r="Z25" s="45">
        <f t="shared" ref="Z25" si="95">IF(AND($B$14&lt;=Z23,$B$14&gt;Y23),$B$13,0)</f>
        <v>0</v>
      </c>
      <c r="AA25" s="45">
        <f t="shared" ref="AA25" si="96">IF(AND($B$14&lt;=AA23,$B$14&gt;Z23),$B$13,0)</f>
        <v>0</v>
      </c>
      <c r="AB25" s="45">
        <f t="shared" ref="AB25" si="97">IF(AND($B$14&lt;=AB23,$B$14&gt;AA23),$B$13,0)</f>
        <v>0</v>
      </c>
      <c r="AC25" s="45">
        <f t="shared" ref="AC25" si="98">IF(AND($B$14&lt;=AC23,$B$14&gt;AB23),$B$13,0)</f>
        <v>0</v>
      </c>
      <c r="AD25" s="45">
        <f t="shared" ref="AD25" si="99">IF(AND($B$14&lt;=AD23,$B$14&gt;AC23),$B$13,0)</f>
        <v>0</v>
      </c>
      <c r="AE25" s="45">
        <f t="shared" ref="AE25" si="100">IF(AND($B$14&lt;=AE23,$B$14&gt;AD23),$B$13,0)</f>
        <v>0</v>
      </c>
      <c r="AF25" s="45">
        <f t="shared" ref="AF25" si="101">IF(AND($B$14&lt;=AF23,$B$14&gt;AE23),$B$13,0)</f>
        <v>0</v>
      </c>
      <c r="AG25" s="45">
        <f t="shared" ref="AG25" si="102">IF(AND($B$14&lt;=AG23,$B$14&gt;AF23),$B$13,0)</f>
        <v>0</v>
      </c>
      <c r="AH25" s="45">
        <f t="shared" ref="AH25" si="103">IF(AND($B$14&lt;=AH23,$B$14&gt;AG23),$B$13,0)</f>
        <v>0</v>
      </c>
      <c r="AI25" s="45">
        <f t="shared" ref="AI25" si="104">IF(AND($B$14&lt;=AI23,$B$14&gt;AH23),$B$13,0)</f>
        <v>0</v>
      </c>
      <c r="AJ25" s="45">
        <f t="shared" ref="AJ25" si="105">IF(AND($B$14&lt;=AJ23,$B$14&gt;AI23),$B$13,0)</f>
        <v>0</v>
      </c>
      <c r="AK25" s="45">
        <f t="shared" ref="AK25" si="106">IF(AND($B$14&lt;=AK23,$B$14&gt;AJ23),$B$13,0)</f>
        <v>0</v>
      </c>
      <c r="AL25" s="45">
        <f t="shared" ref="AL25" si="107">IF(AND($B$14&lt;=AL23,$B$14&gt;AK23),$B$13,0)</f>
        <v>0</v>
      </c>
      <c r="AM25" s="45">
        <f t="shared" ref="AM25" si="108">IF(AND($B$14&lt;=AM23,$B$14&gt;AL23),$B$13,0)</f>
        <v>0</v>
      </c>
      <c r="AN25" s="45">
        <f t="shared" ref="AN25" si="109">IF(AND($B$14&lt;=AN23,$B$14&gt;AM23),$B$13,0)</f>
        <v>0</v>
      </c>
      <c r="AO25" s="45">
        <f t="shared" ref="AO25" si="110">IF(AND($B$14&lt;=AO23,$B$14&gt;AN23),$B$13,0)</f>
        <v>0</v>
      </c>
      <c r="AP25" s="45">
        <f t="shared" ref="AP25" si="111">IF(AND($B$14&lt;=AP23,$B$14&gt;AO23),$B$13,0)</f>
        <v>0</v>
      </c>
      <c r="AQ25" s="45">
        <f t="shared" ref="AQ25" si="112">IF(AND($B$14&lt;=AQ23,$B$14&gt;AP23),$B$13,0)</f>
        <v>0</v>
      </c>
      <c r="AR25" s="45">
        <f t="shared" ref="AR25" si="113">IF(AND($B$14&lt;=AR23,$B$14&gt;AQ23),$B$13,0)</f>
        <v>0</v>
      </c>
      <c r="AS25" s="45">
        <f t="shared" ref="AS25" si="114">IF(AND($B$14&lt;=AS23,$B$14&gt;AR23),$B$13,0)</f>
        <v>0</v>
      </c>
      <c r="AT25" s="45">
        <f t="shared" ref="AT25" si="115">IF(AND($B$14&lt;=AT23,$B$14&gt;AS23),$B$13,0)</f>
        <v>0</v>
      </c>
      <c r="AU25" s="45">
        <f t="shared" ref="AU25" si="116">IF(AND($B$14&lt;=AU23,$B$14&gt;AT23),$B$13,0)</f>
        <v>0</v>
      </c>
      <c r="AV25" s="45">
        <f t="shared" ref="AV25" si="117">IF(AND($B$14&lt;=AV23,$B$14&gt;AU23),$B$13,0)</f>
        <v>0</v>
      </c>
      <c r="AW25" s="45">
        <f t="shared" ref="AW25" si="118">IF(AND($B$14&lt;=AW23,$B$14&gt;AV23),$B$13,0)</f>
        <v>0</v>
      </c>
      <c r="AX25" s="45">
        <f t="shared" ref="AX25" si="119">IF(AND($B$14&lt;=AX23,$B$14&gt;AW23),$B$13,0)</f>
        <v>0</v>
      </c>
      <c r="AY25" s="45">
        <f t="shared" ref="AY25" si="120">IF(AND($B$14&lt;=AY23,$B$14&gt;AX23),$B$13,0)</f>
        <v>0</v>
      </c>
      <c r="AZ25" s="45">
        <f t="shared" ref="AZ25" si="121">IF(AND($B$14&lt;=AZ23,$B$14&gt;AY23),$B$13,0)</f>
        <v>0</v>
      </c>
      <c r="BA25" s="45">
        <f t="shared" ref="BA25" si="122">IF(AND($B$14&lt;=BA23,$B$14&gt;AZ23),$B$13,0)</f>
        <v>0</v>
      </c>
      <c r="BB25" s="45">
        <f t="shared" ref="BB25" si="123">IF(AND($B$14&lt;=BB23,$B$14&gt;BA23),$B$13,0)</f>
        <v>0</v>
      </c>
      <c r="BC25" s="45">
        <f t="shared" ref="BC25" si="124">IF(AND($B$14&lt;=BC23,$B$14&gt;BB23),$B$13,0)</f>
        <v>0</v>
      </c>
      <c r="BD25" s="45">
        <f t="shared" ref="BD25" si="125">IF(AND($B$14&lt;=BD23,$B$14&gt;BC23),$B$13,0)</f>
        <v>0</v>
      </c>
      <c r="BE25" s="45">
        <f t="shared" ref="BE25" si="126">IF(AND($B$14&lt;=BE23,$B$14&gt;BD23),$B$13,0)</f>
        <v>0</v>
      </c>
      <c r="BF25" s="45">
        <f t="shared" ref="BF25" si="127">IF(AND($B$14&lt;=BF23,$B$14&gt;BE23),$B$13,0)</f>
        <v>0</v>
      </c>
      <c r="BG25" s="45">
        <f t="shared" ref="BG25" si="128">IF(AND($B$14&lt;=BG23,$B$14&gt;BF23),$B$13,0)</f>
        <v>0</v>
      </c>
      <c r="BH25" s="45">
        <f t="shared" ref="BH25" si="129">IF(AND($B$14&lt;=BH23,$B$14&gt;BG23),$B$13,0)</f>
        <v>0</v>
      </c>
      <c r="BI25" s="45">
        <f t="shared" ref="BI25" si="130">IF(AND($B$14&lt;=BI23,$B$14&gt;BH23),$B$13,0)</f>
        <v>0</v>
      </c>
      <c r="BJ25" s="45">
        <f t="shared" ref="BJ25" si="131">IF(AND($B$14&lt;=BJ23,$B$14&gt;BI23),$B$13,0)</f>
        <v>0</v>
      </c>
      <c r="BK25" s="45">
        <f t="shared" ref="BK25" si="132">IF(AND($B$14&lt;=BK23,$B$14&gt;BJ23),$B$13,0)</f>
        <v>0</v>
      </c>
      <c r="BL25" s="45">
        <f t="shared" ref="BL25" si="133">IF(AND($B$14&lt;=BL23,$B$14&gt;BK23),$B$13,0)</f>
        <v>0</v>
      </c>
      <c r="BM25" s="45">
        <f t="shared" ref="BM25" si="134">IF(AND($B$14&lt;=BM23,$B$14&gt;BL23),$B$13,0)</f>
        <v>0</v>
      </c>
      <c r="BN25" s="45">
        <f t="shared" ref="BN25" si="135">IF(AND($B$14&lt;=BN23,$B$14&gt;BM23),$B$13,0)</f>
        <v>0</v>
      </c>
      <c r="BO25" s="45">
        <f t="shared" ref="BO25" si="136">IF(AND($B$14&lt;=BO23,$B$14&gt;BN23),$B$13,0)</f>
        <v>0</v>
      </c>
      <c r="BP25" s="45">
        <f t="shared" ref="BP25" si="137">IF(AND($B$14&lt;=BP23,$B$14&gt;BO23),$B$13,0)</f>
        <v>0</v>
      </c>
      <c r="BQ25" s="45">
        <f t="shared" ref="BQ25" si="138">IF(AND($B$14&lt;=BQ23,$B$14&gt;BP23),$B$13,0)</f>
        <v>0</v>
      </c>
      <c r="BR25" s="45">
        <f t="shared" ref="BR25" si="139">IF(AND($B$14&lt;=BR23,$B$14&gt;BQ23),$B$13,0)</f>
        <v>0</v>
      </c>
      <c r="BS25" s="45">
        <f t="shared" ref="BS25" si="140">IF(AND($B$14&lt;=BS23,$B$14&gt;BR23),$B$13,0)</f>
        <v>0</v>
      </c>
      <c r="BT25" s="45">
        <f t="shared" ref="BT25" si="141">IF(AND($B$14&lt;=BT23,$B$14&gt;BS23),$B$13,0)</f>
        <v>0</v>
      </c>
      <c r="BU25" s="45">
        <f t="shared" ref="BU25" si="142">IF(AND($B$14&lt;=BU23,$B$14&gt;BT23),$B$13,0)</f>
        <v>0</v>
      </c>
      <c r="BV25" s="45">
        <f t="shared" ref="BV25" si="143">IF(AND($B$14&lt;=BV23,$B$14&gt;BU23),$B$13,0)</f>
        <v>0</v>
      </c>
      <c r="BW25" s="45">
        <f t="shared" ref="BW25" si="144">IF(AND($B$14&lt;=BW23,$B$14&gt;BV23),$B$13,0)</f>
        <v>0</v>
      </c>
      <c r="BX25" s="45">
        <f t="shared" ref="BX25" si="145">IF(AND($B$14&lt;=BX23,$B$14&gt;BW23),$B$13,0)</f>
        <v>0</v>
      </c>
      <c r="BY25" s="45">
        <f t="shared" ref="BY25" si="146">IF(AND($B$14&lt;=BY23,$B$14&gt;BX23),$B$13,0)</f>
        <v>0</v>
      </c>
      <c r="BZ25" s="45">
        <f t="shared" ref="BZ25" si="147">IF(AND($B$14&lt;=BZ23,$B$14&gt;BY23),$B$13,0)</f>
        <v>0</v>
      </c>
      <c r="CA25" s="45">
        <f t="shared" ref="CA25" si="148">IF(AND($B$14&lt;=CA23,$B$14&gt;BZ23),$B$13,0)</f>
        <v>0</v>
      </c>
      <c r="CB25" s="45">
        <f t="shared" ref="CB25" si="149">IF(AND($B$14&lt;=CB23,$B$14&gt;CA23),$B$13,0)</f>
        <v>0</v>
      </c>
      <c r="CC25" s="45">
        <f t="shared" ref="CC25" si="150">IF(AND($B$14&lt;=CC23,$B$14&gt;CB23),$B$13,0)</f>
        <v>0</v>
      </c>
      <c r="CD25" s="45">
        <f t="shared" ref="CD25" si="151">IF(AND($B$14&lt;=CD23,$B$14&gt;CC23),$B$13,0)</f>
        <v>0</v>
      </c>
      <c r="CG25" s="49">
        <f>SUM(C25:CD25)</f>
        <v>263216.3</v>
      </c>
      <c r="CH25" t="s">
        <v>45</v>
      </c>
    </row>
    <row r="26" spans="1:86" ht="15" x14ac:dyDescent="0.35">
      <c r="A26" s="9" t="s">
        <v>18</v>
      </c>
      <c r="B26" s="19"/>
      <c r="C26" s="44">
        <f ca="1">-OFFSET(C25,0,ROUNDUP($B$14/30,0))*$D$18</f>
        <v>-65804.074999999997</v>
      </c>
      <c r="D26" s="44">
        <f t="shared" ref="D26:BO26" ca="1" si="152">-OFFSET(D25,0,ROUNDUP($B$14/30,0))*$D$18</f>
        <v>0</v>
      </c>
      <c r="E26" s="44">
        <f t="shared" ca="1" si="152"/>
        <v>0</v>
      </c>
      <c r="F26" s="44">
        <f t="shared" ca="1" si="152"/>
        <v>0</v>
      </c>
      <c r="G26" s="44">
        <f t="shared" ca="1" si="152"/>
        <v>0</v>
      </c>
      <c r="H26" s="44">
        <f t="shared" ca="1" si="152"/>
        <v>0</v>
      </c>
      <c r="I26" s="44">
        <f t="shared" ca="1" si="152"/>
        <v>0</v>
      </c>
      <c r="J26" s="44">
        <f t="shared" ca="1" si="152"/>
        <v>0</v>
      </c>
      <c r="K26" s="44">
        <f t="shared" ca="1" si="152"/>
        <v>0</v>
      </c>
      <c r="L26" s="44">
        <f t="shared" ca="1" si="152"/>
        <v>0</v>
      </c>
      <c r="M26" s="44">
        <f t="shared" ca="1" si="152"/>
        <v>0</v>
      </c>
      <c r="N26" s="44">
        <f t="shared" ca="1" si="152"/>
        <v>0</v>
      </c>
      <c r="O26" s="44">
        <f t="shared" ca="1" si="152"/>
        <v>0</v>
      </c>
      <c r="P26" s="44">
        <f t="shared" ca="1" si="152"/>
        <v>0</v>
      </c>
      <c r="Q26" s="44">
        <f t="shared" ca="1" si="152"/>
        <v>0</v>
      </c>
      <c r="R26" s="44">
        <f t="shared" ca="1" si="152"/>
        <v>0</v>
      </c>
      <c r="S26" s="44">
        <f t="shared" ca="1" si="152"/>
        <v>0</v>
      </c>
      <c r="T26" s="44">
        <f t="shared" ca="1" si="152"/>
        <v>0</v>
      </c>
      <c r="U26" s="44">
        <f t="shared" ca="1" si="152"/>
        <v>0</v>
      </c>
      <c r="V26" s="44">
        <f t="shared" ca="1" si="152"/>
        <v>0</v>
      </c>
      <c r="W26" s="44">
        <f t="shared" ca="1" si="152"/>
        <v>0</v>
      </c>
      <c r="X26" s="44">
        <f t="shared" ca="1" si="152"/>
        <v>0</v>
      </c>
      <c r="Y26" s="44">
        <f t="shared" ca="1" si="152"/>
        <v>0</v>
      </c>
      <c r="Z26" s="44">
        <f t="shared" ca="1" si="152"/>
        <v>0</v>
      </c>
      <c r="AA26" s="44">
        <f t="shared" ca="1" si="152"/>
        <v>0</v>
      </c>
      <c r="AB26" s="44">
        <f t="shared" ca="1" si="152"/>
        <v>0</v>
      </c>
      <c r="AC26" s="44">
        <f t="shared" ca="1" si="152"/>
        <v>0</v>
      </c>
      <c r="AD26" s="44">
        <f t="shared" ca="1" si="152"/>
        <v>0</v>
      </c>
      <c r="AE26" s="44">
        <f t="shared" ca="1" si="152"/>
        <v>0</v>
      </c>
      <c r="AF26" s="44">
        <f t="shared" ca="1" si="152"/>
        <v>0</v>
      </c>
      <c r="AG26" s="44">
        <f t="shared" ca="1" si="152"/>
        <v>0</v>
      </c>
      <c r="AH26" s="44">
        <f t="shared" ca="1" si="152"/>
        <v>0</v>
      </c>
      <c r="AI26" s="44">
        <f t="shared" ca="1" si="152"/>
        <v>0</v>
      </c>
      <c r="AJ26" s="44">
        <f t="shared" ca="1" si="152"/>
        <v>0</v>
      </c>
      <c r="AK26" s="44">
        <f t="shared" ca="1" si="152"/>
        <v>0</v>
      </c>
      <c r="AL26" s="44">
        <f t="shared" ca="1" si="152"/>
        <v>0</v>
      </c>
      <c r="AM26" s="44">
        <f t="shared" ca="1" si="152"/>
        <v>0</v>
      </c>
      <c r="AN26" s="44">
        <f t="shared" ca="1" si="152"/>
        <v>0</v>
      </c>
      <c r="AO26" s="44">
        <f t="shared" ca="1" si="152"/>
        <v>0</v>
      </c>
      <c r="AP26" s="44">
        <f t="shared" ca="1" si="152"/>
        <v>0</v>
      </c>
      <c r="AQ26" s="44">
        <f t="shared" ca="1" si="152"/>
        <v>0</v>
      </c>
      <c r="AR26" s="44">
        <f t="shared" ca="1" si="152"/>
        <v>0</v>
      </c>
      <c r="AS26" s="44">
        <f t="shared" ca="1" si="152"/>
        <v>0</v>
      </c>
      <c r="AT26" s="44">
        <f t="shared" ca="1" si="152"/>
        <v>0</v>
      </c>
      <c r="AU26" s="44">
        <f t="shared" ca="1" si="152"/>
        <v>0</v>
      </c>
      <c r="AV26" s="44">
        <f t="shared" ca="1" si="152"/>
        <v>0</v>
      </c>
      <c r="AW26" s="44">
        <f t="shared" ca="1" si="152"/>
        <v>0</v>
      </c>
      <c r="AX26" s="44">
        <f t="shared" ca="1" si="152"/>
        <v>0</v>
      </c>
      <c r="AY26" s="44">
        <f t="shared" ca="1" si="152"/>
        <v>0</v>
      </c>
      <c r="AZ26" s="44">
        <f t="shared" ca="1" si="152"/>
        <v>0</v>
      </c>
      <c r="BA26" s="44">
        <f t="shared" ca="1" si="152"/>
        <v>0</v>
      </c>
      <c r="BB26" s="44">
        <f t="shared" ca="1" si="152"/>
        <v>0</v>
      </c>
      <c r="BC26" s="44">
        <f t="shared" ca="1" si="152"/>
        <v>0</v>
      </c>
      <c r="BD26" s="44">
        <f t="shared" ca="1" si="152"/>
        <v>0</v>
      </c>
      <c r="BE26" s="44">
        <f t="shared" ca="1" si="152"/>
        <v>0</v>
      </c>
      <c r="BF26" s="44">
        <f t="shared" ca="1" si="152"/>
        <v>0</v>
      </c>
      <c r="BG26" s="44">
        <f t="shared" ca="1" si="152"/>
        <v>0</v>
      </c>
      <c r="BH26" s="44">
        <f t="shared" ca="1" si="152"/>
        <v>0</v>
      </c>
      <c r="BI26" s="44">
        <f t="shared" ca="1" si="152"/>
        <v>0</v>
      </c>
      <c r="BJ26" s="44">
        <f t="shared" ca="1" si="152"/>
        <v>0</v>
      </c>
      <c r="BK26" s="44">
        <f t="shared" ca="1" si="152"/>
        <v>0</v>
      </c>
      <c r="BL26" s="44">
        <f t="shared" ca="1" si="152"/>
        <v>0</v>
      </c>
      <c r="BM26" s="44">
        <f t="shared" ca="1" si="152"/>
        <v>0</v>
      </c>
      <c r="BN26" s="44">
        <f t="shared" ca="1" si="152"/>
        <v>0</v>
      </c>
      <c r="BO26" s="44">
        <f t="shared" ca="1" si="152"/>
        <v>0</v>
      </c>
      <c r="BP26" s="44">
        <f t="shared" ref="BP26:CD26" ca="1" si="153">-OFFSET(BP25,0,ROUNDUP($B$14/30,0))*$D$18</f>
        <v>0</v>
      </c>
      <c r="BQ26" s="44">
        <f t="shared" ca="1" si="153"/>
        <v>0</v>
      </c>
      <c r="BR26" s="44">
        <f t="shared" ca="1" si="153"/>
        <v>0</v>
      </c>
      <c r="BS26" s="44">
        <f t="shared" ca="1" si="153"/>
        <v>0</v>
      </c>
      <c r="BT26" s="44">
        <f t="shared" ca="1" si="153"/>
        <v>0</v>
      </c>
      <c r="BU26" s="44">
        <f t="shared" ca="1" si="153"/>
        <v>0</v>
      </c>
      <c r="BV26" s="44">
        <f t="shared" ca="1" si="153"/>
        <v>0</v>
      </c>
      <c r="BW26" s="44">
        <f t="shared" ca="1" si="153"/>
        <v>0</v>
      </c>
      <c r="BX26" s="44">
        <f t="shared" ca="1" si="153"/>
        <v>0</v>
      </c>
      <c r="BY26" s="44">
        <f t="shared" ca="1" si="153"/>
        <v>0</v>
      </c>
      <c r="BZ26" s="44">
        <f t="shared" ca="1" si="153"/>
        <v>0</v>
      </c>
      <c r="CA26" s="44">
        <f t="shared" ca="1" si="153"/>
        <v>0</v>
      </c>
      <c r="CB26" s="44">
        <f t="shared" ca="1" si="153"/>
        <v>0</v>
      </c>
      <c r="CC26" s="44">
        <f t="shared" ca="1" si="153"/>
        <v>0</v>
      </c>
      <c r="CD26" s="44"/>
      <c r="CG26" s="50">
        <f t="shared" ref="CG26:CG37" ca="1" si="154">SUM(C26:CD26)</f>
        <v>-65804.074999999997</v>
      </c>
      <c r="CH26" t="s">
        <v>45</v>
      </c>
    </row>
    <row r="27" spans="1:86" ht="15" x14ac:dyDescent="0.35">
      <c r="A27" s="9" t="s">
        <v>19</v>
      </c>
      <c r="C27" s="45">
        <f t="shared" ref="C27" ca="1" si="155">C25+C26</f>
        <v>-65804.074999999997</v>
      </c>
      <c r="D27" s="45">
        <f ca="1">D25+D26</f>
        <v>0</v>
      </c>
      <c r="E27" s="45">
        <f t="shared" ref="E27:I27" ca="1" si="156">E25+E26</f>
        <v>0</v>
      </c>
      <c r="F27" s="45">
        <f t="shared" ca="1" si="156"/>
        <v>263216.3</v>
      </c>
      <c r="G27" s="45">
        <f t="shared" ca="1" si="156"/>
        <v>0</v>
      </c>
      <c r="H27" s="45">
        <f t="shared" ca="1" si="156"/>
        <v>0</v>
      </c>
      <c r="I27" s="45">
        <f t="shared" ca="1" si="156"/>
        <v>0</v>
      </c>
      <c r="J27" s="45">
        <f t="shared" ref="J27:BU27" ca="1" si="157">J25+J26</f>
        <v>0</v>
      </c>
      <c r="K27" s="45">
        <f t="shared" ca="1" si="157"/>
        <v>0</v>
      </c>
      <c r="L27" s="45">
        <f t="shared" ca="1" si="157"/>
        <v>0</v>
      </c>
      <c r="M27" s="45">
        <f t="shared" ca="1" si="157"/>
        <v>0</v>
      </c>
      <c r="N27" s="45">
        <f t="shared" ca="1" si="157"/>
        <v>0</v>
      </c>
      <c r="O27" s="45">
        <f t="shared" ca="1" si="157"/>
        <v>0</v>
      </c>
      <c r="P27" s="45">
        <f t="shared" ca="1" si="157"/>
        <v>0</v>
      </c>
      <c r="Q27" s="45">
        <f t="shared" ca="1" si="157"/>
        <v>0</v>
      </c>
      <c r="R27" s="45">
        <f t="shared" ca="1" si="157"/>
        <v>0</v>
      </c>
      <c r="S27" s="45">
        <f t="shared" ca="1" si="157"/>
        <v>0</v>
      </c>
      <c r="T27" s="45">
        <f t="shared" ca="1" si="157"/>
        <v>0</v>
      </c>
      <c r="U27" s="45">
        <f t="shared" ca="1" si="157"/>
        <v>0</v>
      </c>
      <c r="V27" s="45">
        <f t="shared" ca="1" si="157"/>
        <v>0</v>
      </c>
      <c r="W27" s="45">
        <f t="shared" ca="1" si="157"/>
        <v>0</v>
      </c>
      <c r="X27" s="45">
        <f t="shared" ca="1" si="157"/>
        <v>0</v>
      </c>
      <c r="Y27" s="45">
        <f t="shared" ca="1" si="157"/>
        <v>0</v>
      </c>
      <c r="Z27" s="45">
        <f t="shared" ca="1" si="157"/>
        <v>0</v>
      </c>
      <c r="AA27" s="45">
        <f t="shared" ca="1" si="157"/>
        <v>0</v>
      </c>
      <c r="AB27" s="45">
        <f t="shared" ca="1" si="157"/>
        <v>0</v>
      </c>
      <c r="AC27" s="45">
        <f t="shared" ca="1" si="157"/>
        <v>0</v>
      </c>
      <c r="AD27" s="45">
        <f t="shared" ca="1" si="157"/>
        <v>0</v>
      </c>
      <c r="AE27" s="45">
        <f t="shared" ca="1" si="157"/>
        <v>0</v>
      </c>
      <c r="AF27" s="45">
        <f t="shared" ca="1" si="157"/>
        <v>0</v>
      </c>
      <c r="AG27" s="45">
        <f t="shared" ca="1" si="157"/>
        <v>0</v>
      </c>
      <c r="AH27" s="45">
        <f t="shared" ca="1" si="157"/>
        <v>0</v>
      </c>
      <c r="AI27" s="45">
        <f t="shared" ca="1" si="157"/>
        <v>0</v>
      </c>
      <c r="AJ27" s="45">
        <f t="shared" ca="1" si="157"/>
        <v>0</v>
      </c>
      <c r="AK27" s="45">
        <f t="shared" ca="1" si="157"/>
        <v>0</v>
      </c>
      <c r="AL27" s="45">
        <f t="shared" ca="1" si="157"/>
        <v>0</v>
      </c>
      <c r="AM27" s="45">
        <f t="shared" ca="1" si="157"/>
        <v>0</v>
      </c>
      <c r="AN27" s="45">
        <f t="shared" ca="1" si="157"/>
        <v>0</v>
      </c>
      <c r="AO27" s="45">
        <f t="shared" ca="1" si="157"/>
        <v>0</v>
      </c>
      <c r="AP27" s="45">
        <f t="shared" ca="1" si="157"/>
        <v>0</v>
      </c>
      <c r="AQ27" s="45">
        <f t="shared" ca="1" si="157"/>
        <v>0</v>
      </c>
      <c r="AR27" s="45">
        <f t="shared" ca="1" si="157"/>
        <v>0</v>
      </c>
      <c r="AS27" s="45">
        <f t="shared" ca="1" si="157"/>
        <v>0</v>
      </c>
      <c r="AT27" s="45">
        <f t="shared" ca="1" si="157"/>
        <v>0</v>
      </c>
      <c r="AU27" s="45">
        <f t="shared" ca="1" si="157"/>
        <v>0</v>
      </c>
      <c r="AV27" s="45">
        <f t="shared" ca="1" si="157"/>
        <v>0</v>
      </c>
      <c r="AW27" s="45">
        <f t="shared" ca="1" si="157"/>
        <v>0</v>
      </c>
      <c r="AX27" s="45">
        <f t="shared" ca="1" si="157"/>
        <v>0</v>
      </c>
      <c r="AY27" s="45">
        <f t="shared" ca="1" si="157"/>
        <v>0</v>
      </c>
      <c r="AZ27" s="45">
        <f t="shared" ca="1" si="157"/>
        <v>0</v>
      </c>
      <c r="BA27" s="45">
        <f t="shared" ca="1" si="157"/>
        <v>0</v>
      </c>
      <c r="BB27" s="45">
        <f t="shared" ca="1" si="157"/>
        <v>0</v>
      </c>
      <c r="BC27" s="45">
        <f t="shared" ca="1" si="157"/>
        <v>0</v>
      </c>
      <c r="BD27" s="45">
        <f t="shared" ca="1" si="157"/>
        <v>0</v>
      </c>
      <c r="BE27" s="45">
        <f t="shared" ca="1" si="157"/>
        <v>0</v>
      </c>
      <c r="BF27" s="45">
        <f t="shared" ca="1" si="157"/>
        <v>0</v>
      </c>
      <c r="BG27" s="45">
        <f t="shared" ca="1" si="157"/>
        <v>0</v>
      </c>
      <c r="BH27" s="45">
        <f t="shared" ca="1" si="157"/>
        <v>0</v>
      </c>
      <c r="BI27" s="45">
        <f t="shared" ca="1" si="157"/>
        <v>0</v>
      </c>
      <c r="BJ27" s="45">
        <f t="shared" ca="1" si="157"/>
        <v>0</v>
      </c>
      <c r="BK27" s="45">
        <f t="shared" ca="1" si="157"/>
        <v>0</v>
      </c>
      <c r="BL27" s="45">
        <f t="shared" ca="1" si="157"/>
        <v>0</v>
      </c>
      <c r="BM27" s="45">
        <f t="shared" ca="1" si="157"/>
        <v>0</v>
      </c>
      <c r="BN27" s="45">
        <f t="shared" ca="1" si="157"/>
        <v>0</v>
      </c>
      <c r="BO27" s="45">
        <f t="shared" ca="1" si="157"/>
        <v>0</v>
      </c>
      <c r="BP27" s="45">
        <f t="shared" ca="1" si="157"/>
        <v>0</v>
      </c>
      <c r="BQ27" s="45">
        <f t="shared" ca="1" si="157"/>
        <v>0</v>
      </c>
      <c r="BR27" s="45">
        <f t="shared" ca="1" si="157"/>
        <v>0</v>
      </c>
      <c r="BS27" s="45">
        <f t="shared" ca="1" si="157"/>
        <v>0</v>
      </c>
      <c r="BT27" s="45">
        <f t="shared" ca="1" si="157"/>
        <v>0</v>
      </c>
      <c r="BU27" s="45">
        <f t="shared" ca="1" si="157"/>
        <v>0</v>
      </c>
      <c r="BV27" s="45">
        <f t="shared" ref="BV27:CD27" ca="1" si="158">BV25+BV26</f>
        <v>0</v>
      </c>
      <c r="BW27" s="45">
        <f t="shared" ca="1" si="158"/>
        <v>0</v>
      </c>
      <c r="BX27" s="45">
        <f t="shared" ca="1" si="158"/>
        <v>0</v>
      </c>
      <c r="BY27" s="45">
        <f t="shared" ca="1" si="158"/>
        <v>0</v>
      </c>
      <c r="BZ27" s="45">
        <f t="shared" ca="1" si="158"/>
        <v>0</v>
      </c>
      <c r="CA27" s="45">
        <f t="shared" ca="1" si="158"/>
        <v>0</v>
      </c>
      <c r="CB27" s="45">
        <f t="shared" ca="1" si="158"/>
        <v>0</v>
      </c>
      <c r="CC27" s="45">
        <f t="shared" ca="1" si="158"/>
        <v>0</v>
      </c>
      <c r="CD27" s="45">
        <f t="shared" si="158"/>
        <v>0</v>
      </c>
      <c r="CG27" s="50">
        <f t="shared" ca="1" si="154"/>
        <v>197412.22499999998</v>
      </c>
      <c r="CH27" t="s">
        <v>45</v>
      </c>
    </row>
    <row r="28" spans="1:86" ht="15" x14ac:dyDescent="0.35">
      <c r="A28" s="9" t="s">
        <v>17</v>
      </c>
      <c r="C28" s="45">
        <f>-B17</f>
        <v>-105286.52</v>
      </c>
      <c r="D28" s="45">
        <v>0</v>
      </c>
      <c r="E28" s="45">
        <v>0</v>
      </c>
      <c r="F28" s="45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G28" s="50">
        <f t="shared" si="154"/>
        <v>-105286.52</v>
      </c>
      <c r="CH28" t="s">
        <v>45</v>
      </c>
    </row>
    <row r="29" spans="1:86" ht="15" x14ac:dyDescent="0.35">
      <c r="A29" s="9" t="s">
        <v>13</v>
      </c>
      <c r="B29" s="51">
        <v>0.03</v>
      </c>
      <c r="C29" s="45">
        <f t="shared" ref="C29:AH29" ca="1" si="159">-$B$29*C27</f>
        <v>1974.1222499999999</v>
      </c>
      <c r="D29" s="45">
        <f t="shared" ca="1" si="159"/>
        <v>0</v>
      </c>
      <c r="E29" s="45">
        <f t="shared" ca="1" si="159"/>
        <v>0</v>
      </c>
      <c r="F29" s="45">
        <f t="shared" ca="1" si="159"/>
        <v>-7896.4889999999996</v>
      </c>
      <c r="G29">
        <f t="shared" ca="1" si="159"/>
        <v>0</v>
      </c>
      <c r="H29">
        <f t="shared" ca="1" si="159"/>
        <v>0</v>
      </c>
      <c r="I29">
        <f t="shared" ca="1" si="159"/>
        <v>0</v>
      </c>
      <c r="J29">
        <f t="shared" ca="1" si="159"/>
        <v>0</v>
      </c>
      <c r="K29">
        <f t="shared" ca="1" si="159"/>
        <v>0</v>
      </c>
      <c r="L29">
        <f t="shared" ca="1" si="159"/>
        <v>0</v>
      </c>
      <c r="M29">
        <f t="shared" ca="1" si="159"/>
        <v>0</v>
      </c>
      <c r="N29">
        <f t="shared" ca="1" si="159"/>
        <v>0</v>
      </c>
      <c r="O29">
        <f t="shared" ca="1" si="159"/>
        <v>0</v>
      </c>
      <c r="P29">
        <f t="shared" ca="1" si="159"/>
        <v>0</v>
      </c>
      <c r="Q29">
        <f t="shared" ca="1" si="159"/>
        <v>0</v>
      </c>
      <c r="R29">
        <f t="shared" ca="1" si="159"/>
        <v>0</v>
      </c>
      <c r="S29">
        <f t="shared" ca="1" si="159"/>
        <v>0</v>
      </c>
      <c r="T29">
        <f t="shared" ca="1" si="159"/>
        <v>0</v>
      </c>
      <c r="U29">
        <f t="shared" ca="1" si="159"/>
        <v>0</v>
      </c>
      <c r="V29">
        <f t="shared" ca="1" si="159"/>
        <v>0</v>
      </c>
      <c r="W29">
        <f t="shared" ca="1" si="159"/>
        <v>0</v>
      </c>
      <c r="X29">
        <f t="shared" ca="1" si="159"/>
        <v>0</v>
      </c>
      <c r="Y29">
        <f t="shared" ca="1" si="159"/>
        <v>0</v>
      </c>
      <c r="Z29">
        <f t="shared" ca="1" si="159"/>
        <v>0</v>
      </c>
      <c r="AA29">
        <f t="shared" ca="1" si="159"/>
        <v>0</v>
      </c>
      <c r="AB29">
        <f t="shared" ca="1" si="159"/>
        <v>0</v>
      </c>
      <c r="AC29">
        <f t="shared" ca="1" si="159"/>
        <v>0</v>
      </c>
      <c r="AD29">
        <f t="shared" ca="1" si="159"/>
        <v>0</v>
      </c>
      <c r="AE29">
        <f t="shared" ca="1" si="159"/>
        <v>0</v>
      </c>
      <c r="AF29">
        <f t="shared" ca="1" si="159"/>
        <v>0</v>
      </c>
      <c r="AG29">
        <f t="shared" ca="1" si="159"/>
        <v>0</v>
      </c>
      <c r="AH29">
        <f t="shared" ca="1" si="159"/>
        <v>0</v>
      </c>
      <c r="AI29">
        <f t="shared" ref="AI29:BN29" ca="1" si="160">-$B$29*AI27</f>
        <v>0</v>
      </c>
      <c r="AJ29">
        <f t="shared" ca="1" si="160"/>
        <v>0</v>
      </c>
      <c r="AK29">
        <f t="shared" ca="1" si="160"/>
        <v>0</v>
      </c>
      <c r="AL29">
        <f t="shared" ca="1" si="160"/>
        <v>0</v>
      </c>
      <c r="AM29">
        <f t="shared" ca="1" si="160"/>
        <v>0</v>
      </c>
      <c r="AN29">
        <f t="shared" ca="1" si="160"/>
        <v>0</v>
      </c>
      <c r="AO29">
        <f t="shared" ca="1" si="160"/>
        <v>0</v>
      </c>
      <c r="AP29">
        <f t="shared" ca="1" si="160"/>
        <v>0</v>
      </c>
      <c r="AQ29">
        <f t="shared" ca="1" si="160"/>
        <v>0</v>
      </c>
      <c r="AR29">
        <f t="shared" ca="1" si="160"/>
        <v>0</v>
      </c>
      <c r="AS29">
        <f t="shared" ca="1" si="160"/>
        <v>0</v>
      </c>
      <c r="AT29">
        <f t="shared" ca="1" si="160"/>
        <v>0</v>
      </c>
      <c r="AU29">
        <f t="shared" ca="1" si="160"/>
        <v>0</v>
      </c>
      <c r="AV29">
        <f t="shared" ca="1" si="160"/>
        <v>0</v>
      </c>
      <c r="AW29">
        <f t="shared" ca="1" si="160"/>
        <v>0</v>
      </c>
      <c r="AX29">
        <f t="shared" ca="1" si="160"/>
        <v>0</v>
      </c>
      <c r="AY29">
        <f t="shared" ca="1" si="160"/>
        <v>0</v>
      </c>
      <c r="AZ29">
        <f t="shared" ca="1" si="160"/>
        <v>0</v>
      </c>
      <c r="BA29">
        <f t="shared" ca="1" si="160"/>
        <v>0</v>
      </c>
      <c r="BB29">
        <f t="shared" ca="1" si="160"/>
        <v>0</v>
      </c>
      <c r="BC29">
        <f t="shared" ca="1" si="160"/>
        <v>0</v>
      </c>
      <c r="BD29">
        <f t="shared" ca="1" si="160"/>
        <v>0</v>
      </c>
      <c r="BE29">
        <f t="shared" ca="1" si="160"/>
        <v>0</v>
      </c>
      <c r="BF29">
        <f t="shared" ca="1" si="160"/>
        <v>0</v>
      </c>
      <c r="BG29">
        <f t="shared" ca="1" si="160"/>
        <v>0</v>
      </c>
      <c r="BH29">
        <f t="shared" ca="1" si="160"/>
        <v>0</v>
      </c>
      <c r="BI29">
        <f t="shared" ca="1" si="160"/>
        <v>0</v>
      </c>
      <c r="BJ29">
        <f t="shared" ca="1" si="160"/>
        <v>0</v>
      </c>
      <c r="BK29">
        <f t="shared" ca="1" si="160"/>
        <v>0</v>
      </c>
      <c r="BL29">
        <f t="shared" ca="1" si="160"/>
        <v>0</v>
      </c>
      <c r="BM29">
        <f t="shared" ca="1" si="160"/>
        <v>0</v>
      </c>
      <c r="BN29">
        <f t="shared" ca="1" si="160"/>
        <v>0</v>
      </c>
      <c r="BO29">
        <f t="shared" ref="BO29:CD29" ca="1" si="161">-$B$29*BO27</f>
        <v>0</v>
      </c>
      <c r="BP29">
        <f t="shared" ca="1" si="161"/>
        <v>0</v>
      </c>
      <c r="BQ29">
        <f t="shared" ca="1" si="161"/>
        <v>0</v>
      </c>
      <c r="BR29">
        <f t="shared" ca="1" si="161"/>
        <v>0</v>
      </c>
      <c r="BS29">
        <f t="shared" ca="1" si="161"/>
        <v>0</v>
      </c>
      <c r="BT29">
        <f t="shared" ca="1" si="161"/>
        <v>0</v>
      </c>
      <c r="BU29">
        <f t="shared" ca="1" si="161"/>
        <v>0</v>
      </c>
      <c r="BV29">
        <f t="shared" ca="1" si="161"/>
        <v>0</v>
      </c>
      <c r="BW29">
        <f t="shared" ca="1" si="161"/>
        <v>0</v>
      </c>
      <c r="BX29">
        <f t="shared" ca="1" si="161"/>
        <v>0</v>
      </c>
      <c r="BY29">
        <f t="shared" ca="1" si="161"/>
        <v>0</v>
      </c>
      <c r="BZ29">
        <f t="shared" ca="1" si="161"/>
        <v>0</v>
      </c>
      <c r="CA29">
        <f t="shared" ca="1" si="161"/>
        <v>0</v>
      </c>
      <c r="CB29">
        <f t="shared" ca="1" si="161"/>
        <v>0</v>
      </c>
      <c r="CC29">
        <f t="shared" ca="1" si="161"/>
        <v>0</v>
      </c>
      <c r="CD29">
        <f t="shared" si="161"/>
        <v>0</v>
      </c>
      <c r="CG29" s="50">
        <f t="shared" ca="1" si="154"/>
        <v>-5922.3667499999992</v>
      </c>
      <c r="CH29" t="s">
        <v>45</v>
      </c>
    </row>
    <row r="30" spans="1:86" ht="15" x14ac:dyDescent="0.35">
      <c r="A30" s="9" t="s">
        <v>22</v>
      </c>
      <c r="C30" s="45">
        <f ca="1">C27+C28+C29</f>
        <v>-169116.47275000002</v>
      </c>
      <c r="D30" s="45">
        <f t="shared" ref="D30:BO30" ca="1" si="162">D27+D28+D29</f>
        <v>0</v>
      </c>
      <c r="E30" s="45">
        <f ca="1">E27+E28+E29</f>
        <v>0</v>
      </c>
      <c r="F30" s="45">
        <f t="shared" ca="1" si="162"/>
        <v>255319.81099999999</v>
      </c>
      <c r="G30" s="26">
        <f t="shared" ca="1" si="162"/>
        <v>0</v>
      </c>
      <c r="H30" s="26">
        <f t="shared" ca="1" si="162"/>
        <v>0</v>
      </c>
      <c r="I30" s="26">
        <f t="shared" ca="1" si="162"/>
        <v>0</v>
      </c>
      <c r="J30" s="26">
        <f t="shared" ca="1" si="162"/>
        <v>0</v>
      </c>
      <c r="K30" s="26">
        <f t="shared" ca="1" si="162"/>
        <v>0</v>
      </c>
      <c r="L30" s="26">
        <f t="shared" ca="1" si="162"/>
        <v>0</v>
      </c>
      <c r="M30" s="26">
        <f t="shared" ca="1" si="162"/>
        <v>0</v>
      </c>
      <c r="N30" s="26">
        <f t="shared" ca="1" si="162"/>
        <v>0</v>
      </c>
      <c r="O30" s="26">
        <f t="shared" ca="1" si="162"/>
        <v>0</v>
      </c>
      <c r="P30" s="26">
        <f t="shared" ca="1" si="162"/>
        <v>0</v>
      </c>
      <c r="Q30" s="26">
        <f t="shared" ca="1" si="162"/>
        <v>0</v>
      </c>
      <c r="R30" s="26">
        <f t="shared" ca="1" si="162"/>
        <v>0</v>
      </c>
      <c r="S30" s="26">
        <f t="shared" ca="1" si="162"/>
        <v>0</v>
      </c>
      <c r="T30" s="26">
        <f t="shared" ca="1" si="162"/>
        <v>0</v>
      </c>
      <c r="U30" s="26">
        <f t="shared" ca="1" si="162"/>
        <v>0</v>
      </c>
      <c r="V30" s="26">
        <f t="shared" ca="1" si="162"/>
        <v>0</v>
      </c>
      <c r="W30" s="26">
        <f t="shared" ca="1" si="162"/>
        <v>0</v>
      </c>
      <c r="X30" s="26">
        <f t="shared" ca="1" si="162"/>
        <v>0</v>
      </c>
      <c r="Y30" s="26">
        <f t="shared" ca="1" si="162"/>
        <v>0</v>
      </c>
      <c r="Z30" s="26">
        <f t="shared" ca="1" si="162"/>
        <v>0</v>
      </c>
      <c r="AA30" s="26">
        <f t="shared" ca="1" si="162"/>
        <v>0</v>
      </c>
      <c r="AB30" s="26">
        <f t="shared" ca="1" si="162"/>
        <v>0</v>
      </c>
      <c r="AC30" s="26">
        <f t="shared" ca="1" si="162"/>
        <v>0</v>
      </c>
      <c r="AD30" s="26">
        <f t="shared" ca="1" si="162"/>
        <v>0</v>
      </c>
      <c r="AE30" s="26">
        <f t="shared" ca="1" si="162"/>
        <v>0</v>
      </c>
      <c r="AF30" s="26">
        <f t="shared" ca="1" si="162"/>
        <v>0</v>
      </c>
      <c r="AG30" s="26">
        <f t="shared" ca="1" si="162"/>
        <v>0</v>
      </c>
      <c r="AH30" s="26">
        <f t="shared" ca="1" si="162"/>
        <v>0</v>
      </c>
      <c r="AI30" s="26">
        <f t="shared" ca="1" si="162"/>
        <v>0</v>
      </c>
      <c r="AJ30" s="26">
        <f t="shared" ca="1" si="162"/>
        <v>0</v>
      </c>
      <c r="AK30" s="26">
        <f t="shared" ca="1" si="162"/>
        <v>0</v>
      </c>
      <c r="AL30" s="26">
        <f t="shared" ca="1" si="162"/>
        <v>0</v>
      </c>
      <c r="AM30" s="26">
        <f t="shared" ca="1" si="162"/>
        <v>0</v>
      </c>
      <c r="AN30" s="26">
        <f t="shared" ca="1" si="162"/>
        <v>0</v>
      </c>
      <c r="AO30" s="26">
        <f t="shared" ca="1" si="162"/>
        <v>0</v>
      </c>
      <c r="AP30" s="26">
        <f t="shared" ca="1" si="162"/>
        <v>0</v>
      </c>
      <c r="AQ30" s="26">
        <f t="shared" ca="1" si="162"/>
        <v>0</v>
      </c>
      <c r="AR30" s="26">
        <f t="shared" ca="1" si="162"/>
        <v>0</v>
      </c>
      <c r="AS30" s="26">
        <f t="shared" ca="1" si="162"/>
        <v>0</v>
      </c>
      <c r="AT30" s="26">
        <f t="shared" ca="1" si="162"/>
        <v>0</v>
      </c>
      <c r="AU30" s="26">
        <f t="shared" ca="1" si="162"/>
        <v>0</v>
      </c>
      <c r="AV30" s="26">
        <f t="shared" ca="1" si="162"/>
        <v>0</v>
      </c>
      <c r="AW30" s="26">
        <f t="shared" ca="1" si="162"/>
        <v>0</v>
      </c>
      <c r="AX30" s="26">
        <f t="shared" ca="1" si="162"/>
        <v>0</v>
      </c>
      <c r="AY30" s="26">
        <f t="shared" ca="1" si="162"/>
        <v>0</v>
      </c>
      <c r="AZ30" s="26">
        <f t="shared" ca="1" si="162"/>
        <v>0</v>
      </c>
      <c r="BA30" s="26">
        <f t="shared" ca="1" si="162"/>
        <v>0</v>
      </c>
      <c r="BB30" s="26">
        <f t="shared" ca="1" si="162"/>
        <v>0</v>
      </c>
      <c r="BC30" s="26">
        <f t="shared" ca="1" si="162"/>
        <v>0</v>
      </c>
      <c r="BD30" s="26">
        <f t="shared" ca="1" si="162"/>
        <v>0</v>
      </c>
      <c r="BE30" s="26">
        <f t="shared" ca="1" si="162"/>
        <v>0</v>
      </c>
      <c r="BF30" s="26">
        <f t="shared" ca="1" si="162"/>
        <v>0</v>
      </c>
      <c r="BG30" s="26">
        <f t="shared" ca="1" si="162"/>
        <v>0</v>
      </c>
      <c r="BH30" s="26">
        <f t="shared" ca="1" si="162"/>
        <v>0</v>
      </c>
      <c r="BI30" s="26">
        <f t="shared" ca="1" si="162"/>
        <v>0</v>
      </c>
      <c r="BJ30" s="26">
        <f t="shared" ca="1" si="162"/>
        <v>0</v>
      </c>
      <c r="BK30" s="26">
        <f t="shared" ca="1" si="162"/>
        <v>0</v>
      </c>
      <c r="BL30" s="26">
        <f t="shared" ca="1" si="162"/>
        <v>0</v>
      </c>
      <c r="BM30" s="26">
        <f t="shared" ca="1" si="162"/>
        <v>0</v>
      </c>
      <c r="BN30" s="26">
        <f t="shared" ca="1" si="162"/>
        <v>0</v>
      </c>
      <c r="BO30" s="26">
        <f t="shared" ca="1" si="162"/>
        <v>0</v>
      </c>
      <c r="BP30" s="26">
        <f t="shared" ref="BP30:CD30" ca="1" si="163">BP27+BP28+BP29</f>
        <v>0</v>
      </c>
      <c r="BQ30" s="26">
        <f t="shared" ca="1" si="163"/>
        <v>0</v>
      </c>
      <c r="BR30" s="26">
        <f t="shared" ca="1" si="163"/>
        <v>0</v>
      </c>
      <c r="BS30" s="26">
        <f t="shared" ca="1" si="163"/>
        <v>0</v>
      </c>
      <c r="BT30" s="26">
        <f t="shared" ca="1" si="163"/>
        <v>0</v>
      </c>
      <c r="BU30" s="26">
        <f t="shared" ca="1" si="163"/>
        <v>0</v>
      </c>
      <c r="BV30" s="26">
        <f t="shared" ca="1" si="163"/>
        <v>0</v>
      </c>
      <c r="BW30" s="26">
        <f t="shared" ca="1" si="163"/>
        <v>0</v>
      </c>
      <c r="BX30" s="26">
        <f t="shared" ca="1" si="163"/>
        <v>0</v>
      </c>
      <c r="BY30" s="26">
        <f t="shared" ca="1" si="163"/>
        <v>0</v>
      </c>
      <c r="BZ30" s="26">
        <f t="shared" ca="1" si="163"/>
        <v>0</v>
      </c>
      <c r="CA30" s="26">
        <f t="shared" ca="1" si="163"/>
        <v>0</v>
      </c>
      <c r="CB30" s="26">
        <f t="shared" ca="1" si="163"/>
        <v>0</v>
      </c>
      <c r="CC30" s="26">
        <f t="shared" ca="1" si="163"/>
        <v>0</v>
      </c>
      <c r="CD30" s="26">
        <f t="shared" si="163"/>
        <v>0</v>
      </c>
      <c r="CG30" s="50">
        <f t="shared" ca="1" si="154"/>
        <v>86203.338249999972</v>
      </c>
      <c r="CH30" t="s">
        <v>45</v>
      </c>
    </row>
    <row r="31" spans="1:86" ht="15" x14ac:dyDescent="0.35">
      <c r="A31" s="31" t="s">
        <v>38</v>
      </c>
      <c r="B31" s="37"/>
      <c r="C31" s="44">
        <v>0</v>
      </c>
      <c r="D31" s="44">
        <v>0</v>
      </c>
      <c r="E31" s="44">
        <v>0</v>
      </c>
      <c r="F31" s="44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0</v>
      </c>
      <c r="AZ31" s="33">
        <v>0</v>
      </c>
      <c r="BA31" s="33">
        <v>0</v>
      </c>
      <c r="BB31" s="33">
        <v>0</v>
      </c>
      <c r="BC31" s="33">
        <v>0</v>
      </c>
      <c r="BD31" s="33">
        <v>0</v>
      </c>
      <c r="BE31" s="33">
        <v>0</v>
      </c>
      <c r="BF31" s="33">
        <v>0</v>
      </c>
      <c r="BG31" s="33">
        <v>0</v>
      </c>
      <c r="BH31" s="33">
        <v>0</v>
      </c>
      <c r="BI31" s="33">
        <v>0</v>
      </c>
      <c r="BJ31" s="33">
        <v>0</v>
      </c>
      <c r="BK31" s="33">
        <v>0</v>
      </c>
      <c r="BL31" s="33">
        <v>0</v>
      </c>
      <c r="BM31" s="33">
        <v>0</v>
      </c>
      <c r="BN31" s="33">
        <v>0</v>
      </c>
      <c r="BO31" s="33">
        <v>0</v>
      </c>
      <c r="BP31" s="33">
        <v>0</v>
      </c>
      <c r="BQ31" s="33">
        <v>0</v>
      </c>
      <c r="BR31" s="33">
        <v>0</v>
      </c>
      <c r="BS31" s="33">
        <v>0</v>
      </c>
      <c r="BT31" s="33">
        <v>0</v>
      </c>
      <c r="BU31" s="33">
        <v>0</v>
      </c>
      <c r="BV31" s="33">
        <v>0</v>
      </c>
      <c r="BW31" s="33">
        <v>0</v>
      </c>
      <c r="BX31" s="33">
        <v>0</v>
      </c>
      <c r="BY31" s="33">
        <v>0</v>
      </c>
      <c r="BZ31" s="33">
        <v>0</v>
      </c>
      <c r="CA31" s="33">
        <v>0</v>
      </c>
      <c r="CB31" s="33">
        <v>0</v>
      </c>
      <c r="CC31" s="33">
        <v>0</v>
      </c>
      <c r="CD31" s="33">
        <v>0</v>
      </c>
      <c r="CG31" s="50">
        <f t="shared" si="154"/>
        <v>0</v>
      </c>
      <c r="CH31" t="s">
        <v>45</v>
      </c>
    </row>
    <row r="32" spans="1:86" ht="15" x14ac:dyDescent="0.35">
      <c r="A32" s="9" t="s">
        <v>36</v>
      </c>
      <c r="C32" s="45">
        <f ca="1">C30+C31</f>
        <v>-169116.47275000002</v>
      </c>
      <c r="D32" s="45">
        <f t="shared" ref="D32:BO32" ca="1" si="164">D30+D31</f>
        <v>0</v>
      </c>
      <c r="E32" s="45">
        <f t="shared" ca="1" si="164"/>
        <v>0</v>
      </c>
      <c r="F32" s="45">
        <f t="shared" ca="1" si="164"/>
        <v>255319.81099999999</v>
      </c>
      <c r="G32" s="26">
        <f t="shared" ca="1" si="164"/>
        <v>0</v>
      </c>
      <c r="H32" s="26">
        <f t="shared" ca="1" si="164"/>
        <v>0</v>
      </c>
      <c r="I32" s="26">
        <f t="shared" ca="1" si="164"/>
        <v>0</v>
      </c>
      <c r="J32" s="26">
        <f t="shared" ca="1" si="164"/>
        <v>0</v>
      </c>
      <c r="K32" s="26">
        <f t="shared" ca="1" si="164"/>
        <v>0</v>
      </c>
      <c r="L32" s="26">
        <f t="shared" ca="1" si="164"/>
        <v>0</v>
      </c>
      <c r="M32" s="26">
        <f t="shared" ca="1" si="164"/>
        <v>0</v>
      </c>
      <c r="N32" s="26">
        <f t="shared" ca="1" si="164"/>
        <v>0</v>
      </c>
      <c r="O32" s="26">
        <f t="shared" ca="1" si="164"/>
        <v>0</v>
      </c>
      <c r="P32" s="26">
        <f t="shared" ca="1" si="164"/>
        <v>0</v>
      </c>
      <c r="Q32" s="26">
        <f t="shared" ca="1" si="164"/>
        <v>0</v>
      </c>
      <c r="R32" s="26">
        <f t="shared" ca="1" si="164"/>
        <v>0</v>
      </c>
      <c r="S32" s="26">
        <f t="shared" ca="1" si="164"/>
        <v>0</v>
      </c>
      <c r="T32" s="26">
        <f t="shared" ca="1" si="164"/>
        <v>0</v>
      </c>
      <c r="U32" s="26">
        <f t="shared" ca="1" si="164"/>
        <v>0</v>
      </c>
      <c r="V32" s="26">
        <f t="shared" ca="1" si="164"/>
        <v>0</v>
      </c>
      <c r="W32" s="26">
        <f t="shared" ca="1" si="164"/>
        <v>0</v>
      </c>
      <c r="X32" s="26">
        <f t="shared" ca="1" si="164"/>
        <v>0</v>
      </c>
      <c r="Y32" s="26">
        <f t="shared" ca="1" si="164"/>
        <v>0</v>
      </c>
      <c r="Z32" s="26">
        <f t="shared" ca="1" si="164"/>
        <v>0</v>
      </c>
      <c r="AA32" s="26">
        <f t="shared" ca="1" si="164"/>
        <v>0</v>
      </c>
      <c r="AB32" s="26">
        <f t="shared" ca="1" si="164"/>
        <v>0</v>
      </c>
      <c r="AC32" s="26">
        <f t="shared" ca="1" si="164"/>
        <v>0</v>
      </c>
      <c r="AD32" s="26">
        <f t="shared" ca="1" si="164"/>
        <v>0</v>
      </c>
      <c r="AE32" s="26">
        <f t="shared" ca="1" si="164"/>
        <v>0</v>
      </c>
      <c r="AF32" s="26">
        <f t="shared" ca="1" si="164"/>
        <v>0</v>
      </c>
      <c r="AG32" s="26">
        <f t="shared" ca="1" si="164"/>
        <v>0</v>
      </c>
      <c r="AH32" s="26">
        <f t="shared" ca="1" si="164"/>
        <v>0</v>
      </c>
      <c r="AI32" s="26">
        <f t="shared" ca="1" si="164"/>
        <v>0</v>
      </c>
      <c r="AJ32" s="26">
        <f t="shared" ca="1" si="164"/>
        <v>0</v>
      </c>
      <c r="AK32" s="26">
        <f t="shared" ca="1" si="164"/>
        <v>0</v>
      </c>
      <c r="AL32" s="26">
        <f t="shared" ca="1" si="164"/>
        <v>0</v>
      </c>
      <c r="AM32" s="26">
        <f t="shared" ca="1" si="164"/>
        <v>0</v>
      </c>
      <c r="AN32" s="26">
        <f t="shared" ca="1" si="164"/>
        <v>0</v>
      </c>
      <c r="AO32" s="26">
        <f t="shared" ca="1" si="164"/>
        <v>0</v>
      </c>
      <c r="AP32" s="26">
        <f t="shared" ca="1" si="164"/>
        <v>0</v>
      </c>
      <c r="AQ32" s="26">
        <f t="shared" ca="1" si="164"/>
        <v>0</v>
      </c>
      <c r="AR32" s="26">
        <f t="shared" ca="1" si="164"/>
        <v>0</v>
      </c>
      <c r="AS32" s="26">
        <f t="shared" ca="1" si="164"/>
        <v>0</v>
      </c>
      <c r="AT32" s="26">
        <f t="shared" ca="1" si="164"/>
        <v>0</v>
      </c>
      <c r="AU32" s="26">
        <f t="shared" ca="1" si="164"/>
        <v>0</v>
      </c>
      <c r="AV32" s="26">
        <f t="shared" ca="1" si="164"/>
        <v>0</v>
      </c>
      <c r="AW32" s="26">
        <f t="shared" ca="1" si="164"/>
        <v>0</v>
      </c>
      <c r="AX32" s="26">
        <f t="shared" ca="1" si="164"/>
        <v>0</v>
      </c>
      <c r="AY32" s="26">
        <f t="shared" ca="1" si="164"/>
        <v>0</v>
      </c>
      <c r="AZ32" s="26">
        <f t="shared" ca="1" si="164"/>
        <v>0</v>
      </c>
      <c r="BA32" s="26">
        <f t="shared" ca="1" si="164"/>
        <v>0</v>
      </c>
      <c r="BB32" s="26">
        <f t="shared" ca="1" si="164"/>
        <v>0</v>
      </c>
      <c r="BC32" s="26">
        <f t="shared" ca="1" si="164"/>
        <v>0</v>
      </c>
      <c r="BD32" s="26">
        <f t="shared" ca="1" si="164"/>
        <v>0</v>
      </c>
      <c r="BE32" s="26">
        <f t="shared" ca="1" si="164"/>
        <v>0</v>
      </c>
      <c r="BF32" s="26">
        <f t="shared" ca="1" si="164"/>
        <v>0</v>
      </c>
      <c r="BG32" s="26">
        <f t="shared" ca="1" si="164"/>
        <v>0</v>
      </c>
      <c r="BH32" s="26">
        <f t="shared" ca="1" si="164"/>
        <v>0</v>
      </c>
      <c r="BI32" s="26">
        <f t="shared" ca="1" si="164"/>
        <v>0</v>
      </c>
      <c r="BJ32" s="26">
        <f t="shared" ca="1" si="164"/>
        <v>0</v>
      </c>
      <c r="BK32" s="26">
        <f t="shared" ca="1" si="164"/>
        <v>0</v>
      </c>
      <c r="BL32" s="26">
        <f t="shared" ca="1" si="164"/>
        <v>0</v>
      </c>
      <c r="BM32" s="26">
        <f t="shared" ca="1" si="164"/>
        <v>0</v>
      </c>
      <c r="BN32" s="26">
        <f t="shared" ca="1" si="164"/>
        <v>0</v>
      </c>
      <c r="BO32" s="26">
        <f t="shared" ca="1" si="164"/>
        <v>0</v>
      </c>
      <c r="BP32" s="26">
        <f t="shared" ref="BP32:CD32" ca="1" si="165">BP30+BP31</f>
        <v>0</v>
      </c>
      <c r="BQ32" s="26">
        <f t="shared" ca="1" si="165"/>
        <v>0</v>
      </c>
      <c r="BR32" s="26">
        <f t="shared" ca="1" si="165"/>
        <v>0</v>
      </c>
      <c r="BS32" s="26">
        <f t="shared" ca="1" si="165"/>
        <v>0</v>
      </c>
      <c r="BT32" s="26">
        <f t="shared" ca="1" si="165"/>
        <v>0</v>
      </c>
      <c r="BU32" s="26">
        <f t="shared" ca="1" si="165"/>
        <v>0</v>
      </c>
      <c r="BV32" s="26">
        <f t="shared" ca="1" si="165"/>
        <v>0</v>
      </c>
      <c r="BW32" s="26">
        <f t="shared" ca="1" si="165"/>
        <v>0</v>
      </c>
      <c r="BX32" s="26">
        <f t="shared" ca="1" si="165"/>
        <v>0</v>
      </c>
      <c r="BY32" s="26">
        <f t="shared" ca="1" si="165"/>
        <v>0</v>
      </c>
      <c r="BZ32" s="26">
        <f t="shared" ca="1" si="165"/>
        <v>0</v>
      </c>
      <c r="CA32" s="26">
        <f t="shared" ca="1" si="165"/>
        <v>0</v>
      </c>
      <c r="CB32" s="26">
        <f t="shared" ca="1" si="165"/>
        <v>0</v>
      </c>
      <c r="CC32" s="26">
        <f t="shared" ca="1" si="165"/>
        <v>0</v>
      </c>
      <c r="CD32" s="26">
        <f t="shared" si="165"/>
        <v>0</v>
      </c>
      <c r="CG32" s="50">
        <f t="shared" ca="1" si="154"/>
        <v>86203.338249999972</v>
      </c>
    </row>
    <row r="33" spans="1:85" ht="15" x14ac:dyDescent="0.35">
      <c r="A33" s="9" t="s">
        <v>27</v>
      </c>
      <c r="C33" s="21">
        <f t="shared" ref="C33:AH33" ca="1" si="166">IFERROR(C32/C27,0)</f>
        <v>2.5700000000000003</v>
      </c>
      <c r="D33" s="21">
        <f t="shared" ca="1" si="166"/>
        <v>0</v>
      </c>
      <c r="E33" s="21">
        <f t="shared" ca="1" si="166"/>
        <v>0</v>
      </c>
      <c r="F33" s="21">
        <f t="shared" ca="1" si="166"/>
        <v>0.97</v>
      </c>
      <c r="G33" s="21">
        <f t="shared" ca="1" si="166"/>
        <v>0</v>
      </c>
      <c r="H33" s="21">
        <f t="shared" ca="1" si="166"/>
        <v>0</v>
      </c>
      <c r="I33" s="21">
        <f t="shared" ca="1" si="166"/>
        <v>0</v>
      </c>
      <c r="J33" s="21">
        <f t="shared" ca="1" si="166"/>
        <v>0</v>
      </c>
      <c r="K33" s="21">
        <f t="shared" ca="1" si="166"/>
        <v>0</v>
      </c>
      <c r="L33" s="21">
        <f t="shared" ca="1" si="166"/>
        <v>0</v>
      </c>
      <c r="M33" s="21">
        <f t="shared" ca="1" si="166"/>
        <v>0</v>
      </c>
      <c r="N33" s="21">
        <f t="shared" ca="1" si="166"/>
        <v>0</v>
      </c>
      <c r="O33" s="21">
        <f t="shared" ca="1" si="166"/>
        <v>0</v>
      </c>
      <c r="P33" s="21">
        <f t="shared" ca="1" si="166"/>
        <v>0</v>
      </c>
      <c r="Q33" s="21">
        <f t="shared" ca="1" si="166"/>
        <v>0</v>
      </c>
      <c r="R33" s="21">
        <f t="shared" ca="1" si="166"/>
        <v>0</v>
      </c>
      <c r="S33" s="21">
        <f t="shared" ca="1" si="166"/>
        <v>0</v>
      </c>
      <c r="T33" s="21">
        <f t="shared" ca="1" si="166"/>
        <v>0</v>
      </c>
      <c r="U33" s="21">
        <f t="shared" ca="1" si="166"/>
        <v>0</v>
      </c>
      <c r="V33" s="21">
        <f t="shared" ca="1" si="166"/>
        <v>0</v>
      </c>
      <c r="W33" s="21">
        <f t="shared" ca="1" si="166"/>
        <v>0</v>
      </c>
      <c r="X33" s="21">
        <f t="shared" ca="1" si="166"/>
        <v>0</v>
      </c>
      <c r="Y33" s="21">
        <f t="shared" ca="1" si="166"/>
        <v>0</v>
      </c>
      <c r="Z33" s="21">
        <f t="shared" ca="1" si="166"/>
        <v>0</v>
      </c>
      <c r="AA33" s="21">
        <f t="shared" ca="1" si="166"/>
        <v>0</v>
      </c>
      <c r="AB33" s="21">
        <f t="shared" ca="1" si="166"/>
        <v>0</v>
      </c>
      <c r="AC33" s="21">
        <f t="shared" ca="1" si="166"/>
        <v>0</v>
      </c>
      <c r="AD33" s="21">
        <f t="shared" ca="1" si="166"/>
        <v>0</v>
      </c>
      <c r="AE33" s="21">
        <f t="shared" ca="1" si="166"/>
        <v>0</v>
      </c>
      <c r="AF33" s="21">
        <f t="shared" ca="1" si="166"/>
        <v>0</v>
      </c>
      <c r="AG33" s="21">
        <f t="shared" ca="1" si="166"/>
        <v>0</v>
      </c>
      <c r="AH33" s="21">
        <f t="shared" ca="1" si="166"/>
        <v>0</v>
      </c>
      <c r="AI33" s="21">
        <f t="shared" ref="AI33:BN33" ca="1" si="167">IFERROR(AI32/AI27,0)</f>
        <v>0</v>
      </c>
      <c r="AJ33" s="21">
        <f t="shared" ca="1" si="167"/>
        <v>0</v>
      </c>
      <c r="AK33" s="21">
        <f t="shared" ca="1" si="167"/>
        <v>0</v>
      </c>
      <c r="AL33" s="21">
        <f t="shared" ca="1" si="167"/>
        <v>0</v>
      </c>
      <c r="AM33" s="21">
        <f t="shared" ca="1" si="167"/>
        <v>0</v>
      </c>
      <c r="AN33" s="21">
        <f t="shared" ca="1" si="167"/>
        <v>0</v>
      </c>
      <c r="AO33" s="21">
        <f t="shared" ca="1" si="167"/>
        <v>0</v>
      </c>
      <c r="AP33" s="21">
        <f t="shared" ca="1" si="167"/>
        <v>0</v>
      </c>
      <c r="AQ33" s="21">
        <f t="shared" ca="1" si="167"/>
        <v>0</v>
      </c>
      <c r="AR33" s="21">
        <f t="shared" ca="1" si="167"/>
        <v>0</v>
      </c>
      <c r="AS33" s="21">
        <f t="shared" ca="1" si="167"/>
        <v>0</v>
      </c>
      <c r="AT33" s="21">
        <f t="shared" ca="1" si="167"/>
        <v>0</v>
      </c>
      <c r="AU33" s="21">
        <f t="shared" ca="1" si="167"/>
        <v>0</v>
      </c>
      <c r="AV33" s="21">
        <f t="shared" ca="1" si="167"/>
        <v>0</v>
      </c>
      <c r="AW33" s="21">
        <f t="shared" ca="1" si="167"/>
        <v>0</v>
      </c>
      <c r="AX33" s="21">
        <f t="shared" ca="1" si="167"/>
        <v>0</v>
      </c>
      <c r="AY33" s="21">
        <f t="shared" ca="1" si="167"/>
        <v>0</v>
      </c>
      <c r="AZ33" s="21">
        <f t="shared" ca="1" si="167"/>
        <v>0</v>
      </c>
      <c r="BA33" s="21">
        <f t="shared" ca="1" si="167"/>
        <v>0</v>
      </c>
      <c r="BB33" s="21">
        <f t="shared" ca="1" si="167"/>
        <v>0</v>
      </c>
      <c r="BC33" s="21">
        <f t="shared" ca="1" si="167"/>
        <v>0</v>
      </c>
      <c r="BD33" s="21">
        <f t="shared" ca="1" si="167"/>
        <v>0</v>
      </c>
      <c r="BE33" s="21">
        <f t="shared" ca="1" si="167"/>
        <v>0</v>
      </c>
      <c r="BF33" s="21">
        <f t="shared" ca="1" si="167"/>
        <v>0</v>
      </c>
      <c r="BG33" s="21">
        <f t="shared" ca="1" si="167"/>
        <v>0</v>
      </c>
      <c r="BH33" s="21">
        <f t="shared" ca="1" si="167"/>
        <v>0</v>
      </c>
      <c r="BI33" s="21">
        <f t="shared" ca="1" si="167"/>
        <v>0</v>
      </c>
      <c r="BJ33" s="21">
        <f t="shared" ca="1" si="167"/>
        <v>0</v>
      </c>
      <c r="BK33" s="21">
        <f t="shared" ca="1" si="167"/>
        <v>0</v>
      </c>
      <c r="BL33" s="21">
        <f t="shared" ca="1" si="167"/>
        <v>0</v>
      </c>
      <c r="BM33" s="21">
        <f t="shared" ca="1" si="167"/>
        <v>0</v>
      </c>
      <c r="BN33" s="21">
        <f t="shared" ca="1" si="167"/>
        <v>0</v>
      </c>
      <c r="BO33" s="21">
        <f t="shared" ref="BO33:CD33" ca="1" si="168">IFERROR(BO32/BO27,0)</f>
        <v>0</v>
      </c>
      <c r="BP33" s="21">
        <f t="shared" ca="1" si="168"/>
        <v>0</v>
      </c>
      <c r="BQ33" s="21">
        <f t="shared" ca="1" si="168"/>
        <v>0</v>
      </c>
      <c r="BR33" s="21">
        <f t="shared" ca="1" si="168"/>
        <v>0</v>
      </c>
      <c r="BS33" s="21">
        <f t="shared" ca="1" si="168"/>
        <v>0</v>
      </c>
      <c r="BT33" s="21">
        <f t="shared" ca="1" si="168"/>
        <v>0</v>
      </c>
      <c r="BU33" s="21">
        <f t="shared" ca="1" si="168"/>
        <v>0</v>
      </c>
      <c r="BV33" s="21">
        <f t="shared" ca="1" si="168"/>
        <v>0</v>
      </c>
      <c r="BW33" s="21">
        <f t="shared" ca="1" si="168"/>
        <v>0</v>
      </c>
      <c r="BX33" s="21">
        <f t="shared" ca="1" si="168"/>
        <v>0</v>
      </c>
      <c r="BY33" s="21">
        <f t="shared" ca="1" si="168"/>
        <v>0</v>
      </c>
      <c r="BZ33" s="21">
        <f t="shared" ca="1" si="168"/>
        <v>0</v>
      </c>
      <c r="CA33" s="21">
        <f t="shared" ca="1" si="168"/>
        <v>0</v>
      </c>
      <c r="CB33" s="21">
        <f t="shared" ca="1" si="168"/>
        <v>0</v>
      </c>
      <c r="CC33" s="21">
        <f t="shared" ca="1" si="168"/>
        <v>0</v>
      </c>
      <c r="CD33" s="21">
        <f t="shared" si="168"/>
        <v>0</v>
      </c>
      <c r="CG33" s="54">
        <f ca="1">CG32/CG27</f>
        <v>0.43666666666666659</v>
      </c>
    </row>
    <row r="34" spans="1:85" ht="15" x14ac:dyDescent="0.35">
      <c r="A34" s="9" t="s">
        <v>28</v>
      </c>
      <c r="C34" s="45"/>
      <c r="D34" s="44" cm="1">
        <f t="array" ref="D34">SUMPRODUCT(($C22:C22&gt;=D22-$B$21)*($C39:C39))/$B$21</f>
        <v>0</v>
      </c>
      <c r="E34" s="44" cm="1">
        <f t="array" ref="E34">SUMPRODUCT(($C22:D22&gt;=E22-$B$21)*($C39:D39))/$B$21</f>
        <v>0</v>
      </c>
      <c r="F34" s="44" cm="1">
        <f t="array" ref="F34">SUMPRODUCT(($C22:E22&gt;=F22-$B$21)*($C39:E39))/$B$21</f>
        <v>0</v>
      </c>
      <c r="G34" s="33" cm="1">
        <f t="array" ref="G34">SUMPRODUCT(($C22:F22&gt;=G22-$B$21)*($C39:F39))/$B$21</f>
        <v>0</v>
      </c>
      <c r="H34" s="33" cm="1">
        <f t="array" ref="H34">SUMPRODUCT(($C22:G22&gt;=H22-$B$21)*($C39:G39))/$B$21</f>
        <v>0</v>
      </c>
      <c r="I34" s="33" cm="1">
        <f t="array" ref="I34">SUMPRODUCT(($C22:H22&gt;=I22-$B$21)*($C39:H39))/$B$21</f>
        <v>0</v>
      </c>
      <c r="J34" s="33" cm="1">
        <f t="array" ref="J34">SUMPRODUCT(($C22:I22&gt;=J22-$B$21)*($C39:I39))/$B$21</f>
        <v>0</v>
      </c>
      <c r="K34" s="33" cm="1">
        <f t="array" ref="K34">SUMPRODUCT(($C22:J22&gt;=K22-$B$21)*($C39:J39))/$B$21</f>
        <v>0</v>
      </c>
      <c r="L34" s="33" cm="1">
        <f t="array" ref="L34">SUMPRODUCT(($C22:K22&gt;=L22-$B$21)*($C39:K39))/$B$21</f>
        <v>0</v>
      </c>
      <c r="M34" s="33" cm="1">
        <f t="array" ref="M34">SUMPRODUCT(($C22:L22&gt;=M22-$B$21)*($C39:L39))/$B$21</f>
        <v>0</v>
      </c>
      <c r="N34" s="33" cm="1">
        <f t="array" ref="N34">SUMPRODUCT(($C22:M22&gt;=N22-$B$21)*($C39:M39))/$B$21</f>
        <v>0</v>
      </c>
      <c r="O34" s="33" cm="1">
        <f t="array" ref="O34">SUMPRODUCT(($C22:N22&gt;=O22-$B$21)*($C39:N39))/$B$21</f>
        <v>0</v>
      </c>
      <c r="P34" s="33" cm="1">
        <f t="array" ref="P34">SUMPRODUCT(($C22:O22&gt;=P22-$B$21)*($C39:O39))/$B$21</f>
        <v>0</v>
      </c>
      <c r="Q34" s="33" cm="1">
        <f t="array" ref="Q34">SUMPRODUCT(($C22:P22&gt;=Q22-$B$21)*($C39:P39))/$B$21</f>
        <v>0</v>
      </c>
      <c r="R34" s="33" cm="1">
        <f t="array" ref="R34">SUMPRODUCT(($C22:Q22&gt;=R22-$B$21)*($C39:Q39))/$B$21</f>
        <v>0</v>
      </c>
      <c r="S34" s="33" cm="1">
        <f t="array" ref="S34">SUMPRODUCT(($C22:R22&gt;=S22-$B$21)*($C39:R39))/$B$21</f>
        <v>0</v>
      </c>
      <c r="T34" s="33" cm="1">
        <f t="array" ref="T34">SUMPRODUCT(($C22:S22&gt;=T22-$B$21)*($C39:S39))/$B$21</f>
        <v>0</v>
      </c>
      <c r="U34" s="33" cm="1">
        <f t="array" ref="U34">SUMPRODUCT(($C22:T22&gt;=U22-$B$21)*($C39:T39))/$B$21</f>
        <v>0</v>
      </c>
      <c r="V34" s="33" cm="1">
        <f t="array" ref="V34">SUMPRODUCT(($C22:U22&gt;=V22-$B$21)*($C39:U39))/$B$21</f>
        <v>0</v>
      </c>
      <c r="W34" s="33" cm="1">
        <f t="array" ref="W34">SUMPRODUCT(($C22:V22&gt;=W22-$B$21)*($C39:V39))/$B$21</f>
        <v>0</v>
      </c>
      <c r="X34" s="33" cm="1">
        <f t="array" ref="X34">SUMPRODUCT(($C22:W22&gt;=X22-$B$21)*($C39:W39))/$B$21</f>
        <v>0</v>
      </c>
      <c r="Y34" s="33" cm="1">
        <f t="array" ref="Y34">SUMPRODUCT(($C22:X22&gt;=Y22-$B$21)*($C39:X39))/$B$21</f>
        <v>0</v>
      </c>
      <c r="Z34" s="33" cm="1">
        <f t="array" ref="Z34">SUMPRODUCT(($C22:Y22&gt;=Z22-$B$21)*($C39:Y39))/$B$21</f>
        <v>0</v>
      </c>
      <c r="AA34" s="33" cm="1">
        <f t="array" ref="AA34">SUMPRODUCT(($C22:Z22&gt;=AA22-$B$21)*($C39:Z39))/$B$21</f>
        <v>0</v>
      </c>
      <c r="AB34" s="33" cm="1">
        <f t="array" ref="AB34">SUMPRODUCT(($C22:AA22&gt;=AB22-$B$21)*($C39:AA39))/$B$21</f>
        <v>0</v>
      </c>
      <c r="AC34" s="33" cm="1">
        <f t="array" ref="AC34">SUMPRODUCT(($C22:AB22&gt;=AC22-$B$21)*($C39:AB39))/$B$21</f>
        <v>0</v>
      </c>
      <c r="AD34" s="33" cm="1">
        <f t="array" ref="AD34">SUMPRODUCT(($C22:AC22&gt;=AD22-$B$21)*($C39:AC39))/$B$21</f>
        <v>0</v>
      </c>
      <c r="AE34" s="33" cm="1">
        <f t="array" ref="AE34">SUMPRODUCT(($C22:AD22&gt;=AE22-$B$21)*($C39:AD39))/$B$21</f>
        <v>0</v>
      </c>
      <c r="AF34" s="33" cm="1">
        <f t="array" ref="AF34">SUMPRODUCT(($C22:AE22&gt;=AF22-$B$21)*($C39:AE39))/$B$21</f>
        <v>0</v>
      </c>
      <c r="AG34" s="33" cm="1">
        <f t="array" ref="AG34">SUMPRODUCT(($C22:AF22&gt;=AG22-$B$21)*($C39:AF39))/$B$21</f>
        <v>0</v>
      </c>
      <c r="AH34" s="33" cm="1">
        <f t="array" ref="AH34">SUMPRODUCT(($C22:AG22&gt;=AH22-$B$21)*($C39:AG39))/$B$21</f>
        <v>0</v>
      </c>
      <c r="AI34" s="33" cm="1">
        <f t="array" ref="AI34">SUMPRODUCT(($C22:AH22&gt;=AI22-$B$21)*($C39:AH39))/$B$21</f>
        <v>0</v>
      </c>
      <c r="AJ34" s="33" cm="1">
        <f t="array" ref="AJ34">SUMPRODUCT(($C22:AI22&gt;=AJ22-$B$21)*($C39:AI39))/$B$21</f>
        <v>0</v>
      </c>
      <c r="AK34" s="33" cm="1">
        <f t="array" ref="AK34">SUMPRODUCT(($C22:AJ22&gt;=AK22-$B$21)*($C39:AJ39))/$B$21</f>
        <v>0</v>
      </c>
      <c r="AL34" s="33" cm="1">
        <f t="array" ref="AL34">SUMPRODUCT(($C22:AK22&gt;=AL22-$B$21)*($C39:AK39))/$B$21</f>
        <v>0</v>
      </c>
      <c r="AM34" s="33" cm="1">
        <f t="array" ref="AM34">SUMPRODUCT(($C22:AL22&gt;=AM22-$B$21)*($C39:AL39))/$B$21</f>
        <v>0</v>
      </c>
      <c r="AN34" s="33" cm="1">
        <f t="array" ref="AN34">SUMPRODUCT(($C22:AM22&gt;=AN22-$B$21)*($C39:AM39))/$B$21</f>
        <v>0</v>
      </c>
      <c r="AO34" s="33" cm="1">
        <f t="array" ref="AO34">SUMPRODUCT(($C22:AN22&gt;=AO22-$B$21)*($C39:AN39))/$B$21</f>
        <v>0</v>
      </c>
      <c r="AP34" s="33" cm="1">
        <f t="array" ref="AP34">SUMPRODUCT(($C22:AO22&gt;=AP22-$B$21)*($C39:AO39))/$B$21</f>
        <v>0</v>
      </c>
      <c r="AQ34" s="33" cm="1">
        <f t="array" ref="AQ34">SUMPRODUCT(($C22:AP22&gt;=AQ22-$B$21)*($C39:AP39))/$B$21</f>
        <v>0</v>
      </c>
      <c r="AR34" s="33" cm="1">
        <f t="array" ref="AR34">SUMPRODUCT(($C22:AQ22&gt;=AR22-$B$21)*($C39:AQ39))/$B$21</f>
        <v>0</v>
      </c>
      <c r="AS34" s="33" cm="1">
        <f t="array" ref="AS34">SUMPRODUCT(($C22:AR22&gt;=AS22-$B$21)*($C39:AR39))/$B$21</f>
        <v>0</v>
      </c>
      <c r="AT34" s="33" cm="1">
        <f t="array" ref="AT34">SUMPRODUCT(($C22:AS22&gt;=AT22-$B$21)*($C39:AS39))/$B$21</f>
        <v>0</v>
      </c>
      <c r="AU34" s="33" cm="1">
        <f t="array" ref="AU34">SUMPRODUCT(($C22:AT22&gt;=AU22-$B$21)*($C39:AT39))/$B$21</f>
        <v>0</v>
      </c>
      <c r="AV34" s="33" cm="1">
        <f t="array" ref="AV34">SUMPRODUCT(($C22:AU22&gt;=AV22-$B$21)*($C39:AU39))/$B$21</f>
        <v>0</v>
      </c>
      <c r="AW34" s="33" cm="1">
        <f t="array" ref="AW34">SUMPRODUCT(($C22:AV22&gt;=AW22-$B$21)*($C39:AV39))/$B$21</f>
        <v>0</v>
      </c>
      <c r="AX34" s="33" cm="1">
        <f t="array" ref="AX34">SUMPRODUCT(($C22:AW22&gt;=AX22-$B$21)*($C39:AW39))/$B$21</f>
        <v>0</v>
      </c>
      <c r="AY34" s="33" cm="1">
        <f t="array" ref="AY34">SUMPRODUCT(($C22:AX22&gt;=AY22-$B$21)*($C39:AX39))/$B$21</f>
        <v>0</v>
      </c>
      <c r="AZ34" s="33" cm="1">
        <f t="array" ref="AZ34">SUMPRODUCT(($C22:AY22&gt;=AZ22-$B$21)*($C39:AY39))/$B$21</f>
        <v>0</v>
      </c>
      <c r="BA34" s="33" cm="1">
        <f t="array" ref="BA34">SUMPRODUCT(($C22:AZ22&gt;=BA22-$B$21)*($C39:AZ39))/$B$21</f>
        <v>0</v>
      </c>
      <c r="BB34" s="33" cm="1">
        <f t="array" ref="BB34">SUMPRODUCT(($C22:BA22&gt;=BB22-$B$21)*($C39:BA39))/$B$21</f>
        <v>0</v>
      </c>
      <c r="BC34" s="33" cm="1">
        <f t="array" ref="BC34">SUMPRODUCT(($C22:BB22&gt;=BC22-$B$21)*($C39:BB39))/$B$21</f>
        <v>0</v>
      </c>
      <c r="BD34" s="33" cm="1">
        <f t="array" ref="BD34">SUMPRODUCT(($C22:BC22&gt;=BD22-$B$21)*($C39:BC39))/$B$21</f>
        <v>0</v>
      </c>
      <c r="BE34" s="33" cm="1">
        <f t="array" ref="BE34">SUMPRODUCT(($C22:BD22&gt;=BE22-$B$21)*($C39:BD39))/$B$21</f>
        <v>0</v>
      </c>
      <c r="BF34" s="33" cm="1">
        <f t="array" ref="BF34">SUMPRODUCT(($C22:BE22&gt;=BF22-$B$21)*($C39:BE39))/$B$21</f>
        <v>0</v>
      </c>
      <c r="BG34" s="33" cm="1">
        <f t="array" ref="BG34">SUMPRODUCT(($C22:BF22&gt;=BG22-$B$21)*($C39:BF39))/$B$21</f>
        <v>0</v>
      </c>
      <c r="BH34" s="33" cm="1">
        <f t="array" ref="BH34">SUMPRODUCT(($C22:BG22&gt;=BH22-$B$21)*($C39:BG39))/$B$21</f>
        <v>0</v>
      </c>
      <c r="BI34" s="33" cm="1">
        <f t="array" ref="BI34">SUMPRODUCT(($C22:BH22&gt;=BI22-$B$21)*($C39:BH39))/$B$21</f>
        <v>0</v>
      </c>
      <c r="BJ34" s="33" cm="1">
        <f t="array" ref="BJ34">SUMPRODUCT(($C22:BI22&gt;=BJ22-$B$21)*($C39:BI39))/$B$21</f>
        <v>0</v>
      </c>
      <c r="BK34" s="33" cm="1">
        <f t="array" ref="BK34">SUMPRODUCT(($C22:BJ22&gt;=BK22-$B$21)*($C39:BJ39))/$B$21</f>
        <v>0</v>
      </c>
      <c r="BL34" s="33" cm="1">
        <f t="array" ref="BL34">SUMPRODUCT(($C22:BK22&gt;=BL22-$B$21)*($C39:BK39))/$B$21</f>
        <v>0</v>
      </c>
      <c r="BM34" s="33" cm="1">
        <f t="array" ref="BM34">SUMPRODUCT(($C22:BL22&gt;=BM22-$B$21)*($C39:BL39))/$B$21</f>
        <v>0</v>
      </c>
      <c r="BN34" s="33" cm="1">
        <f t="array" ref="BN34">SUMPRODUCT(($C22:BM22&gt;=BN22-$B$21)*($C39:BM39))/$B$21</f>
        <v>0</v>
      </c>
      <c r="BO34" s="33" cm="1">
        <f t="array" ref="BO34">SUMPRODUCT(($C22:BN22&gt;=BO22-$B$21)*($C39:BN39))/$B$21</f>
        <v>0</v>
      </c>
      <c r="BP34" s="33" cm="1">
        <f t="array" ref="BP34">SUMPRODUCT(($C22:BO22&gt;=BP22-$B$21)*($C39:BO39))/$B$21</f>
        <v>0</v>
      </c>
      <c r="BQ34" s="33" cm="1">
        <f t="array" ref="BQ34">SUMPRODUCT(($C22:BP22&gt;=BQ22-$B$21)*($C39:BP39))/$B$21</f>
        <v>0</v>
      </c>
      <c r="BR34" s="33" cm="1">
        <f t="array" ref="BR34">SUMPRODUCT(($C22:BQ22&gt;=BR22-$B$21)*($C39:BQ39))/$B$21</f>
        <v>0</v>
      </c>
      <c r="BS34" s="33" cm="1">
        <f t="array" ref="BS34">SUMPRODUCT(($C22:BR22&gt;=BS22-$B$21)*($C39:BR39))/$B$21</f>
        <v>0</v>
      </c>
      <c r="BT34" s="33" cm="1">
        <f t="array" ref="BT34">SUMPRODUCT(($C22:BS22&gt;=BT22-$B$21)*($C39:BS39))/$B$21</f>
        <v>0</v>
      </c>
      <c r="BU34" s="33" cm="1">
        <f t="array" ref="BU34">SUMPRODUCT(($C22:BT22&gt;=BU22-$B$21)*($C39:BT39))/$B$21</f>
        <v>0</v>
      </c>
      <c r="BV34" s="33" cm="1">
        <f t="array" ref="BV34">SUMPRODUCT(($C22:BU22&gt;=BV22-$B$21)*($C39:BU39))/$B$21</f>
        <v>0</v>
      </c>
      <c r="BW34" s="33" cm="1">
        <f t="array" ref="BW34">SUMPRODUCT(($C22:BV22&gt;=BW22-$B$21)*($C39:BV39))/$B$21</f>
        <v>0</v>
      </c>
      <c r="BX34" s="33" cm="1">
        <f t="array" ref="BX34">SUMPRODUCT(($C22:BW22&gt;=BX22-$B$21)*($C39:BW39))/$B$21</f>
        <v>0</v>
      </c>
      <c r="BY34" s="33" cm="1">
        <f t="array" ref="BY34">SUMPRODUCT(($C22:BX22&gt;=BY22-$B$21)*($C39:BX39))/$B$21</f>
        <v>0</v>
      </c>
      <c r="BZ34" s="33" cm="1">
        <f t="array" ref="BZ34">SUMPRODUCT(($C22:BY22&gt;=BZ22-$B$21)*($C39:BY39))/$B$21</f>
        <v>0</v>
      </c>
      <c r="CA34" s="33" cm="1">
        <f t="array" ref="CA34">SUMPRODUCT(($C22:BZ22&gt;=CA22-$B$21)*($C39:BZ39))/$B$21</f>
        <v>0</v>
      </c>
      <c r="CB34" s="33" cm="1">
        <f t="array" ref="CB34">SUMPRODUCT(($C22:CA22&gt;=CB22-$B$21)*($C39:CA39))/$B$21</f>
        <v>0</v>
      </c>
      <c r="CC34" s="33" cm="1">
        <f t="array" ref="CC34">SUMPRODUCT(($C22:CB22&gt;=CC22-$B$21)*($C39:CB39))/$B$21</f>
        <v>0</v>
      </c>
      <c r="CD34" s="33" cm="1">
        <f t="array" ref="CD34">SUMPRODUCT(($C22:CC22&gt;=CD22-$B$21)*($C39:CC39))/$B$21</f>
        <v>0</v>
      </c>
      <c r="CG34" s="50">
        <f t="shared" si="154"/>
        <v>0</v>
      </c>
    </row>
    <row r="35" spans="1:85" ht="15" x14ac:dyDescent="0.35">
      <c r="A35" s="9" t="s">
        <v>37</v>
      </c>
      <c r="C35" s="45">
        <f ca="1">C32+C34</f>
        <v>-169116.47275000002</v>
      </c>
      <c r="D35" s="45">
        <f t="shared" ref="D35:BO35" ca="1" si="169">D32+D34</f>
        <v>0</v>
      </c>
      <c r="E35" s="45">
        <f t="shared" ca="1" si="169"/>
        <v>0</v>
      </c>
      <c r="F35" s="45">
        <f t="shared" ca="1" si="169"/>
        <v>255319.81099999999</v>
      </c>
      <c r="G35">
        <f t="shared" ca="1" si="169"/>
        <v>0</v>
      </c>
      <c r="H35">
        <f t="shared" ca="1" si="169"/>
        <v>0</v>
      </c>
      <c r="I35">
        <f t="shared" ca="1" si="169"/>
        <v>0</v>
      </c>
      <c r="J35">
        <f t="shared" ca="1" si="169"/>
        <v>0</v>
      </c>
      <c r="K35">
        <f t="shared" ca="1" si="169"/>
        <v>0</v>
      </c>
      <c r="L35">
        <f t="shared" ca="1" si="169"/>
        <v>0</v>
      </c>
      <c r="M35">
        <f t="shared" ca="1" si="169"/>
        <v>0</v>
      </c>
      <c r="N35">
        <f t="shared" ca="1" si="169"/>
        <v>0</v>
      </c>
      <c r="O35">
        <f t="shared" ca="1" si="169"/>
        <v>0</v>
      </c>
      <c r="P35">
        <f t="shared" ca="1" si="169"/>
        <v>0</v>
      </c>
      <c r="Q35">
        <f t="shared" ca="1" si="169"/>
        <v>0</v>
      </c>
      <c r="R35">
        <f t="shared" ca="1" si="169"/>
        <v>0</v>
      </c>
      <c r="S35">
        <f t="shared" ca="1" si="169"/>
        <v>0</v>
      </c>
      <c r="T35">
        <f t="shared" ca="1" si="169"/>
        <v>0</v>
      </c>
      <c r="U35">
        <f t="shared" ca="1" si="169"/>
        <v>0</v>
      </c>
      <c r="V35">
        <f t="shared" ca="1" si="169"/>
        <v>0</v>
      </c>
      <c r="W35">
        <f t="shared" ca="1" si="169"/>
        <v>0</v>
      </c>
      <c r="X35">
        <f t="shared" ca="1" si="169"/>
        <v>0</v>
      </c>
      <c r="Y35">
        <f t="shared" ca="1" si="169"/>
        <v>0</v>
      </c>
      <c r="Z35">
        <f t="shared" ca="1" si="169"/>
        <v>0</v>
      </c>
      <c r="AA35">
        <f t="shared" ca="1" si="169"/>
        <v>0</v>
      </c>
      <c r="AB35">
        <f t="shared" ca="1" si="169"/>
        <v>0</v>
      </c>
      <c r="AC35">
        <f t="shared" ca="1" si="169"/>
        <v>0</v>
      </c>
      <c r="AD35">
        <f t="shared" ca="1" si="169"/>
        <v>0</v>
      </c>
      <c r="AE35">
        <f t="shared" ca="1" si="169"/>
        <v>0</v>
      </c>
      <c r="AF35">
        <f t="shared" ca="1" si="169"/>
        <v>0</v>
      </c>
      <c r="AG35">
        <f t="shared" ca="1" si="169"/>
        <v>0</v>
      </c>
      <c r="AH35">
        <f t="shared" ca="1" si="169"/>
        <v>0</v>
      </c>
      <c r="AI35">
        <f t="shared" ca="1" si="169"/>
        <v>0</v>
      </c>
      <c r="AJ35">
        <f t="shared" ca="1" si="169"/>
        <v>0</v>
      </c>
      <c r="AK35">
        <f t="shared" ca="1" si="169"/>
        <v>0</v>
      </c>
      <c r="AL35">
        <f t="shared" ca="1" si="169"/>
        <v>0</v>
      </c>
      <c r="AM35">
        <f t="shared" ca="1" si="169"/>
        <v>0</v>
      </c>
      <c r="AN35">
        <f t="shared" ca="1" si="169"/>
        <v>0</v>
      </c>
      <c r="AO35">
        <f t="shared" ca="1" si="169"/>
        <v>0</v>
      </c>
      <c r="AP35">
        <f t="shared" ca="1" si="169"/>
        <v>0</v>
      </c>
      <c r="AQ35">
        <f t="shared" ca="1" si="169"/>
        <v>0</v>
      </c>
      <c r="AR35">
        <f t="shared" ca="1" si="169"/>
        <v>0</v>
      </c>
      <c r="AS35">
        <f t="shared" ca="1" si="169"/>
        <v>0</v>
      </c>
      <c r="AT35">
        <f t="shared" ca="1" si="169"/>
        <v>0</v>
      </c>
      <c r="AU35">
        <f t="shared" ca="1" si="169"/>
        <v>0</v>
      </c>
      <c r="AV35">
        <f t="shared" ca="1" si="169"/>
        <v>0</v>
      </c>
      <c r="AW35">
        <f t="shared" ca="1" si="169"/>
        <v>0</v>
      </c>
      <c r="AX35">
        <f t="shared" ca="1" si="169"/>
        <v>0</v>
      </c>
      <c r="AY35">
        <f t="shared" ca="1" si="169"/>
        <v>0</v>
      </c>
      <c r="AZ35">
        <f t="shared" ca="1" si="169"/>
        <v>0</v>
      </c>
      <c r="BA35">
        <f t="shared" ca="1" si="169"/>
        <v>0</v>
      </c>
      <c r="BB35">
        <f t="shared" ca="1" si="169"/>
        <v>0</v>
      </c>
      <c r="BC35">
        <f t="shared" ca="1" si="169"/>
        <v>0</v>
      </c>
      <c r="BD35">
        <f t="shared" ca="1" si="169"/>
        <v>0</v>
      </c>
      <c r="BE35">
        <f t="shared" ca="1" si="169"/>
        <v>0</v>
      </c>
      <c r="BF35">
        <f t="shared" ca="1" si="169"/>
        <v>0</v>
      </c>
      <c r="BG35">
        <f t="shared" ca="1" si="169"/>
        <v>0</v>
      </c>
      <c r="BH35">
        <f t="shared" ca="1" si="169"/>
        <v>0</v>
      </c>
      <c r="BI35">
        <f t="shared" ca="1" si="169"/>
        <v>0</v>
      </c>
      <c r="BJ35">
        <f t="shared" ca="1" si="169"/>
        <v>0</v>
      </c>
      <c r="BK35">
        <f t="shared" ca="1" si="169"/>
        <v>0</v>
      </c>
      <c r="BL35">
        <f t="shared" ca="1" si="169"/>
        <v>0</v>
      </c>
      <c r="BM35">
        <f t="shared" ca="1" si="169"/>
        <v>0</v>
      </c>
      <c r="BN35">
        <f t="shared" ca="1" si="169"/>
        <v>0</v>
      </c>
      <c r="BO35">
        <f t="shared" ca="1" si="169"/>
        <v>0</v>
      </c>
      <c r="BP35">
        <f t="shared" ref="BP35:CD35" ca="1" si="170">BP32+BP34</f>
        <v>0</v>
      </c>
      <c r="BQ35">
        <f t="shared" ca="1" si="170"/>
        <v>0</v>
      </c>
      <c r="BR35">
        <f t="shared" ca="1" si="170"/>
        <v>0</v>
      </c>
      <c r="BS35">
        <f t="shared" ca="1" si="170"/>
        <v>0</v>
      </c>
      <c r="BT35">
        <f t="shared" ca="1" si="170"/>
        <v>0</v>
      </c>
      <c r="BU35">
        <f t="shared" ca="1" si="170"/>
        <v>0</v>
      </c>
      <c r="BV35">
        <f t="shared" ca="1" si="170"/>
        <v>0</v>
      </c>
      <c r="BW35">
        <f t="shared" ca="1" si="170"/>
        <v>0</v>
      </c>
      <c r="BX35">
        <f t="shared" ca="1" si="170"/>
        <v>0</v>
      </c>
      <c r="BY35">
        <f t="shared" ca="1" si="170"/>
        <v>0</v>
      </c>
      <c r="BZ35">
        <f t="shared" ca="1" si="170"/>
        <v>0</v>
      </c>
      <c r="CA35">
        <f t="shared" ca="1" si="170"/>
        <v>0</v>
      </c>
      <c r="CB35">
        <f t="shared" ca="1" si="170"/>
        <v>0</v>
      </c>
      <c r="CC35">
        <f t="shared" ca="1" si="170"/>
        <v>0</v>
      </c>
      <c r="CD35">
        <f t="shared" si="170"/>
        <v>0</v>
      </c>
      <c r="CG35" s="50">
        <f t="shared" ca="1" si="154"/>
        <v>86203.338249999972</v>
      </c>
    </row>
    <row r="36" spans="1:85" ht="15" x14ac:dyDescent="0.35">
      <c r="A36" s="20" t="s">
        <v>23</v>
      </c>
      <c r="B36" s="19">
        <v>0.34</v>
      </c>
      <c r="C36" s="45">
        <f ca="1">-$B$36*C35</f>
        <v>57499.600735000007</v>
      </c>
      <c r="D36" s="45">
        <f t="shared" ref="D36:BO36" ca="1" si="171">-$B$36*D35</f>
        <v>0</v>
      </c>
      <c r="E36" s="45">
        <f t="shared" ca="1" si="171"/>
        <v>0</v>
      </c>
      <c r="F36" s="45">
        <f t="shared" ca="1" si="171"/>
        <v>-86808.735740000004</v>
      </c>
      <c r="G36" s="45">
        <f t="shared" ca="1" si="171"/>
        <v>0</v>
      </c>
      <c r="H36" s="45">
        <f t="shared" ca="1" si="171"/>
        <v>0</v>
      </c>
      <c r="I36" s="45">
        <f t="shared" ca="1" si="171"/>
        <v>0</v>
      </c>
      <c r="J36" s="45">
        <f t="shared" ca="1" si="171"/>
        <v>0</v>
      </c>
      <c r="K36" s="45">
        <f t="shared" ca="1" si="171"/>
        <v>0</v>
      </c>
      <c r="L36" s="45">
        <f t="shared" ca="1" si="171"/>
        <v>0</v>
      </c>
      <c r="M36" s="45">
        <f t="shared" ca="1" si="171"/>
        <v>0</v>
      </c>
      <c r="N36" s="45">
        <f t="shared" ca="1" si="171"/>
        <v>0</v>
      </c>
      <c r="O36" s="45">
        <f t="shared" ca="1" si="171"/>
        <v>0</v>
      </c>
      <c r="P36" s="45">
        <f t="shared" ca="1" si="171"/>
        <v>0</v>
      </c>
      <c r="Q36" s="45">
        <f t="shared" ca="1" si="171"/>
        <v>0</v>
      </c>
      <c r="R36" s="45">
        <f t="shared" ca="1" si="171"/>
        <v>0</v>
      </c>
      <c r="S36" s="45">
        <f t="shared" ca="1" si="171"/>
        <v>0</v>
      </c>
      <c r="T36" s="45">
        <f t="shared" ca="1" si="171"/>
        <v>0</v>
      </c>
      <c r="U36" s="45">
        <f t="shared" ca="1" si="171"/>
        <v>0</v>
      </c>
      <c r="V36" s="45">
        <f t="shared" ca="1" si="171"/>
        <v>0</v>
      </c>
      <c r="W36" s="45">
        <f t="shared" ca="1" si="171"/>
        <v>0</v>
      </c>
      <c r="X36" s="45">
        <f t="shared" ca="1" si="171"/>
        <v>0</v>
      </c>
      <c r="Y36" s="45">
        <f t="shared" ca="1" si="171"/>
        <v>0</v>
      </c>
      <c r="Z36" s="45">
        <f t="shared" ca="1" si="171"/>
        <v>0</v>
      </c>
      <c r="AA36" s="45">
        <f t="shared" ca="1" si="171"/>
        <v>0</v>
      </c>
      <c r="AB36" s="45">
        <f t="shared" ca="1" si="171"/>
        <v>0</v>
      </c>
      <c r="AC36" s="45">
        <f t="shared" ca="1" si="171"/>
        <v>0</v>
      </c>
      <c r="AD36" s="45">
        <f t="shared" ca="1" si="171"/>
        <v>0</v>
      </c>
      <c r="AE36" s="45">
        <f t="shared" ca="1" si="171"/>
        <v>0</v>
      </c>
      <c r="AF36" s="45">
        <f t="shared" ca="1" si="171"/>
        <v>0</v>
      </c>
      <c r="AG36" s="45">
        <f t="shared" ca="1" si="171"/>
        <v>0</v>
      </c>
      <c r="AH36" s="45">
        <f t="shared" ca="1" si="171"/>
        <v>0</v>
      </c>
      <c r="AI36" s="45">
        <f t="shared" ca="1" si="171"/>
        <v>0</v>
      </c>
      <c r="AJ36" s="45">
        <f t="shared" ca="1" si="171"/>
        <v>0</v>
      </c>
      <c r="AK36" s="45">
        <f t="shared" ca="1" si="171"/>
        <v>0</v>
      </c>
      <c r="AL36" s="45">
        <f t="shared" ca="1" si="171"/>
        <v>0</v>
      </c>
      <c r="AM36" s="45">
        <f t="shared" ca="1" si="171"/>
        <v>0</v>
      </c>
      <c r="AN36" s="45">
        <f t="shared" ca="1" si="171"/>
        <v>0</v>
      </c>
      <c r="AO36" s="45">
        <f t="shared" ca="1" si="171"/>
        <v>0</v>
      </c>
      <c r="AP36" s="45">
        <f t="shared" ca="1" si="171"/>
        <v>0</v>
      </c>
      <c r="AQ36" s="45">
        <f t="shared" ca="1" si="171"/>
        <v>0</v>
      </c>
      <c r="AR36" s="45">
        <f t="shared" ca="1" si="171"/>
        <v>0</v>
      </c>
      <c r="AS36" s="45">
        <f t="shared" ca="1" si="171"/>
        <v>0</v>
      </c>
      <c r="AT36" s="45">
        <f t="shared" ca="1" si="171"/>
        <v>0</v>
      </c>
      <c r="AU36" s="45">
        <f t="shared" ca="1" si="171"/>
        <v>0</v>
      </c>
      <c r="AV36" s="45">
        <f t="shared" ca="1" si="171"/>
        <v>0</v>
      </c>
      <c r="AW36" s="45">
        <f t="shared" ca="1" si="171"/>
        <v>0</v>
      </c>
      <c r="AX36" s="45">
        <f t="shared" ca="1" si="171"/>
        <v>0</v>
      </c>
      <c r="AY36" s="45">
        <f t="shared" ca="1" si="171"/>
        <v>0</v>
      </c>
      <c r="AZ36" s="45">
        <f t="shared" ca="1" si="171"/>
        <v>0</v>
      </c>
      <c r="BA36" s="45">
        <f t="shared" ca="1" si="171"/>
        <v>0</v>
      </c>
      <c r="BB36" s="45">
        <f t="shared" ca="1" si="171"/>
        <v>0</v>
      </c>
      <c r="BC36" s="45">
        <f t="shared" ca="1" si="171"/>
        <v>0</v>
      </c>
      <c r="BD36" s="45">
        <f t="shared" ca="1" si="171"/>
        <v>0</v>
      </c>
      <c r="BE36" s="45">
        <f t="shared" ca="1" si="171"/>
        <v>0</v>
      </c>
      <c r="BF36" s="45">
        <f t="shared" ca="1" si="171"/>
        <v>0</v>
      </c>
      <c r="BG36" s="45">
        <f t="shared" ca="1" si="171"/>
        <v>0</v>
      </c>
      <c r="BH36" s="45">
        <f t="shared" ca="1" si="171"/>
        <v>0</v>
      </c>
      <c r="BI36" s="45">
        <f t="shared" ca="1" si="171"/>
        <v>0</v>
      </c>
      <c r="BJ36" s="45">
        <f t="shared" ca="1" si="171"/>
        <v>0</v>
      </c>
      <c r="BK36" s="45">
        <f t="shared" ca="1" si="171"/>
        <v>0</v>
      </c>
      <c r="BL36" s="45">
        <f t="shared" ca="1" si="171"/>
        <v>0</v>
      </c>
      <c r="BM36" s="45">
        <f t="shared" ca="1" si="171"/>
        <v>0</v>
      </c>
      <c r="BN36" s="45">
        <f t="shared" ca="1" si="171"/>
        <v>0</v>
      </c>
      <c r="BO36" s="45">
        <f t="shared" ca="1" si="171"/>
        <v>0</v>
      </c>
      <c r="BP36" s="45">
        <f t="shared" ref="BP36:CD36" ca="1" si="172">-$B$36*BP35</f>
        <v>0</v>
      </c>
      <c r="BQ36" s="45">
        <f t="shared" ca="1" si="172"/>
        <v>0</v>
      </c>
      <c r="BR36" s="45">
        <f t="shared" ca="1" si="172"/>
        <v>0</v>
      </c>
      <c r="BS36" s="45">
        <f t="shared" ca="1" si="172"/>
        <v>0</v>
      </c>
      <c r="BT36" s="45">
        <f t="shared" ca="1" si="172"/>
        <v>0</v>
      </c>
      <c r="BU36" s="45">
        <f t="shared" ca="1" si="172"/>
        <v>0</v>
      </c>
      <c r="BV36" s="45">
        <f t="shared" ca="1" si="172"/>
        <v>0</v>
      </c>
      <c r="BW36" s="45">
        <f t="shared" ca="1" si="172"/>
        <v>0</v>
      </c>
      <c r="BX36" s="45">
        <f t="shared" ca="1" si="172"/>
        <v>0</v>
      </c>
      <c r="BY36" s="45">
        <f t="shared" ca="1" si="172"/>
        <v>0</v>
      </c>
      <c r="BZ36" s="45">
        <f t="shared" ca="1" si="172"/>
        <v>0</v>
      </c>
      <c r="CA36" s="45">
        <f t="shared" ca="1" si="172"/>
        <v>0</v>
      </c>
      <c r="CB36" s="45">
        <f t="shared" ca="1" si="172"/>
        <v>0</v>
      </c>
      <c r="CC36" s="45">
        <f t="shared" ca="1" si="172"/>
        <v>0</v>
      </c>
      <c r="CD36" s="45">
        <f t="shared" si="172"/>
        <v>0</v>
      </c>
      <c r="CG36" s="50">
        <f t="shared" ca="1" si="154"/>
        <v>-29309.135004999996</v>
      </c>
    </row>
    <row r="37" spans="1:85" x14ac:dyDescent="0.35">
      <c r="A37" s="12" t="s">
        <v>24</v>
      </c>
      <c r="C37" s="45">
        <f ca="1">C35+C36</f>
        <v>-111616.872015</v>
      </c>
      <c r="D37" s="45">
        <f t="shared" ref="D37:BO37" ca="1" si="173">D35+D36</f>
        <v>0</v>
      </c>
      <c r="E37" s="45">
        <f t="shared" ca="1" si="173"/>
        <v>0</v>
      </c>
      <c r="F37" s="45">
        <f t="shared" ca="1" si="173"/>
        <v>168511.07525999998</v>
      </c>
      <c r="G37" s="45">
        <f t="shared" ca="1" si="173"/>
        <v>0</v>
      </c>
      <c r="H37" s="45">
        <f t="shared" ca="1" si="173"/>
        <v>0</v>
      </c>
      <c r="I37" s="45">
        <f t="shared" ca="1" si="173"/>
        <v>0</v>
      </c>
      <c r="J37" s="45">
        <f t="shared" ca="1" si="173"/>
        <v>0</v>
      </c>
      <c r="K37" s="45">
        <f t="shared" ca="1" si="173"/>
        <v>0</v>
      </c>
      <c r="L37" s="45">
        <f t="shared" ca="1" si="173"/>
        <v>0</v>
      </c>
      <c r="M37" s="45">
        <f t="shared" ca="1" si="173"/>
        <v>0</v>
      </c>
      <c r="N37" s="45">
        <f t="shared" ca="1" si="173"/>
        <v>0</v>
      </c>
      <c r="O37" s="45">
        <f t="shared" ca="1" si="173"/>
        <v>0</v>
      </c>
      <c r="P37" s="45">
        <f t="shared" ca="1" si="173"/>
        <v>0</v>
      </c>
      <c r="Q37" s="45">
        <f t="shared" ca="1" si="173"/>
        <v>0</v>
      </c>
      <c r="R37" s="45">
        <f t="shared" ca="1" si="173"/>
        <v>0</v>
      </c>
      <c r="S37" s="45">
        <f t="shared" ca="1" si="173"/>
        <v>0</v>
      </c>
      <c r="T37" s="45">
        <f t="shared" ca="1" si="173"/>
        <v>0</v>
      </c>
      <c r="U37" s="45">
        <f t="shared" ca="1" si="173"/>
        <v>0</v>
      </c>
      <c r="V37" s="45">
        <f t="shared" ca="1" si="173"/>
        <v>0</v>
      </c>
      <c r="W37" s="45">
        <f t="shared" ca="1" si="173"/>
        <v>0</v>
      </c>
      <c r="X37" s="45">
        <f t="shared" ca="1" si="173"/>
        <v>0</v>
      </c>
      <c r="Y37" s="45">
        <f t="shared" ca="1" si="173"/>
        <v>0</v>
      </c>
      <c r="Z37" s="45">
        <f t="shared" ca="1" si="173"/>
        <v>0</v>
      </c>
      <c r="AA37" s="45">
        <f t="shared" ca="1" si="173"/>
        <v>0</v>
      </c>
      <c r="AB37" s="45">
        <f t="shared" ca="1" si="173"/>
        <v>0</v>
      </c>
      <c r="AC37" s="45">
        <f t="shared" ca="1" si="173"/>
        <v>0</v>
      </c>
      <c r="AD37" s="45">
        <f t="shared" ca="1" si="173"/>
        <v>0</v>
      </c>
      <c r="AE37" s="45">
        <f t="shared" ca="1" si="173"/>
        <v>0</v>
      </c>
      <c r="AF37" s="45">
        <f t="shared" ca="1" si="173"/>
        <v>0</v>
      </c>
      <c r="AG37" s="45">
        <f t="shared" ca="1" si="173"/>
        <v>0</v>
      </c>
      <c r="AH37" s="45">
        <f t="shared" ca="1" si="173"/>
        <v>0</v>
      </c>
      <c r="AI37" s="45">
        <f t="shared" ca="1" si="173"/>
        <v>0</v>
      </c>
      <c r="AJ37" s="45">
        <f t="shared" ca="1" si="173"/>
        <v>0</v>
      </c>
      <c r="AK37" s="45">
        <f t="shared" ca="1" si="173"/>
        <v>0</v>
      </c>
      <c r="AL37" s="45">
        <f t="shared" ca="1" si="173"/>
        <v>0</v>
      </c>
      <c r="AM37" s="45">
        <f t="shared" ca="1" si="173"/>
        <v>0</v>
      </c>
      <c r="AN37" s="45">
        <f t="shared" ca="1" si="173"/>
        <v>0</v>
      </c>
      <c r="AO37" s="45">
        <f t="shared" ca="1" si="173"/>
        <v>0</v>
      </c>
      <c r="AP37" s="45">
        <f t="shared" ca="1" si="173"/>
        <v>0</v>
      </c>
      <c r="AQ37" s="45">
        <f t="shared" ca="1" si="173"/>
        <v>0</v>
      </c>
      <c r="AR37" s="45">
        <f t="shared" ca="1" si="173"/>
        <v>0</v>
      </c>
      <c r="AS37" s="45">
        <f t="shared" ca="1" si="173"/>
        <v>0</v>
      </c>
      <c r="AT37" s="45">
        <f t="shared" ca="1" si="173"/>
        <v>0</v>
      </c>
      <c r="AU37" s="45">
        <f t="shared" ca="1" si="173"/>
        <v>0</v>
      </c>
      <c r="AV37" s="45">
        <f t="shared" ca="1" si="173"/>
        <v>0</v>
      </c>
      <c r="AW37" s="45">
        <f t="shared" ca="1" si="173"/>
        <v>0</v>
      </c>
      <c r="AX37" s="45">
        <f t="shared" ca="1" si="173"/>
        <v>0</v>
      </c>
      <c r="AY37" s="45">
        <f t="shared" ca="1" si="173"/>
        <v>0</v>
      </c>
      <c r="AZ37" s="45">
        <f t="shared" ca="1" si="173"/>
        <v>0</v>
      </c>
      <c r="BA37" s="45">
        <f t="shared" ca="1" si="173"/>
        <v>0</v>
      </c>
      <c r="BB37" s="45">
        <f t="shared" ca="1" si="173"/>
        <v>0</v>
      </c>
      <c r="BC37" s="45">
        <f t="shared" ca="1" si="173"/>
        <v>0</v>
      </c>
      <c r="BD37" s="45">
        <f t="shared" ca="1" si="173"/>
        <v>0</v>
      </c>
      <c r="BE37" s="45">
        <f t="shared" ca="1" si="173"/>
        <v>0</v>
      </c>
      <c r="BF37" s="45">
        <f t="shared" ca="1" si="173"/>
        <v>0</v>
      </c>
      <c r="BG37" s="45">
        <f t="shared" ca="1" si="173"/>
        <v>0</v>
      </c>
      <c r="BH37" s="45">
        <f t="shared" ca="1" si="173"/>
        <v>0</v>
      </c>
      <c r="BI37" s="45">
        <f t="shared" ca="1" si="173"/>
        <v>0</v>
      </c>
      <c r="BJ37" s="45">
        <f t="shared" ca="1" si="173"/>
        <v>0</v>
      </c>
      <c r="BK37" s="45">
        <f t="shared" ca="1" si="173"/>
        <v>0</v>
      </c>
      <c r="BL37" s="45">
        <f t="shared" ca="1" si="173"/>
        <v>0</v>
      </c>
      <c r="BM37" s="45">
        <f t="shared" ca="1" si="173"/>
        <v>0</v>
      </c>
      <c r="BN37" s="45">
        <f t="shared" ca="1" si="173"/>
        <v>0</v>
      </c>
      <c r="BO37" s="45">
        <f t="shared" ca="1" si="173"/>
        <v>0</v>
      </c>
      <c r="BP37" s="45">
        <f t="shared" ref="BP37:CD37" ca="1" si="174">BP35+BP36</f>
        <v>0</v>
      </c>
      <c r="BQ37" s="45">
        <f t="shared" ca="1" si="174"/>
        <v>0</v>
      </c>
      <c r="BR37" s="45">
        <f t="shared" ca="1" si="174"/>
        <v>0</v>
      </c>
      <c r="BS37" s="45">
        <f t="shared" ca="1" si="174"/>
        <v>0</v>
      </c>
      <c r="BT37" s="45">
        <f t="shared" ca="1" si="174"/>
        <v>0</v>
      </c>
      <c r="BU37" s="45">
        <f t="shared" ca="1" si="174"/>
        <v>0</v>
      </c>
      <c r="BV37" s="45">
        <f t="shared" ca="1" si="174"/>
        <v>0</v>
      </c>
      <c r="BW37" s="45">
        <f t="shared" ca="1" si="174"/>
        <v>0</v>
      </c>
      <c r="BX37" s="45">
        <f t="shared" ca="1" si="174"/>
        <v>0</v>
      </c>
      <c r="BY37" s="45">
        <f t="shared" ca="1" si="174"/>
        <v>0</v>
      </c>
      <c r="BZ37" s="45">
        <f t="shared" ca="1" si="174"/>
        <v>0</v>
      </c>
      <c r="CA37" s="45">
        <f t="shared" ca="1" si="174"/>
        <v>0</v>
      </c>
      <c r="CB37" s="45">
        <f t="shared" ca="1" si="174"/>
        <v>0</v>
      </c>
      <c r="CC37" s="45">
        <f t="shared" ca="1" si="174"/>
        <v>0</v>
      </c>
      <c r="CD37" s="45">
        <f t="shared" si="174"/>
        <v>0</v>
      </c>
      <c r="CG37" s="50">
        <f t="shared" ca="1" si="154"/>
        <v>56894.203244999982</v>
      </c>
    </row>
    <row r="38" spans="1:85" x14ac:dyDescent="0.35">
      <c r="A38" s="12" t="s">
        <v>25</v>
      </c>
      <c r="C38" s="21">
        <f ca="1">IFERROR(C37/C27,0)</f>
        <v>1.6962000000000002</v>
      </c>
      <c r="D38" s="21">
        <f t="shared" ref="D38:AH38" ca="1" si="175">IFERROR(D37/D27,0)</f>
        <v>0</v>
      </c>
      <c r="E38" s="21">
        <f t="shared" ca="1" si="175"/>
        <v>0</v>
      </c>
      <c r="F38" s="21">
        <f t="shared" ca="1" si="175"/>
        <v>0.64019999999999999</v>
      </c>
      <c r="G38" s="21">
        <f t="shared" ca="1" si="175"/>
        <v>0</v>
      </c>
      <c r="H38" s="21">
        <f t="shared" ca="1" si="175"/>
        <v>0</v>
      </c>
      <c r="I38" s="21">
        <f t="shared" ca="1" si="175"/>
        <v>0</v>
      </c>
      <c r="J38" s="21">
        <f t="shared" ca="1" si="175"/>
        <v>0</v>
      </c>
      <c r="K38" s="21">
        <f t="shared" ca="1" si="175"/>
        <v>0</v>
      </c>
      <c r="L38" s="21">
        <f t="shared" ca="1" si="175"/>
        <v>0</v>
      </c>
      <c r="M38" s="21">
        <f t="shared" ca="1" si="175"/>
        <v>0</v>
      </c>
      <c r="N38" s="21">
        <f t="shared" ca="1" si="175"/>
        <v>0</v>
      </c>
      <c r="O38" s="21">
        <f t="shared" ca="1" si="175"/>
        <v>0</v>
      </c>
      <c r="P38" s="21">
        <f t="shared" ca="1" si="175"/>
        <v>0</v>
      </c>
      <c r="Q38" s="21">
        <f t="shared" ca="1" si="175"/>
        <v>0</v>
      </c>
      <c r="R38" s="21">
        <f t="shared" ca="1" si="175"/>
        <v>0</v>
      </c>
      <c r="S38" s="21">
        <f t="shared" ca="1" si="175"/>
        <v>0</v>
      </c>
      <c r="T38" s="21">
        <f t="shared" ca="1" si="175"/>
        <v>0</v>
      </c>
      <c r="U38" s="21">
        <f t="shared" ca="1" si="175"/>
        <v>0</v>
      </c>
      <c r="V38" s="21">
        <f t="shared" ca="1" si="175"/>
        <v>0</v>
      </c>
      <c r="W38" s="21">
        <f t="shared" ca="1" si="175"/>
        <v>0</v>
      </c>
      <c r="X38" s="21">
        <f t="shared" ca="1" si="175"/>
        <v>0</v>
      </c>
      <c r="Y38" s="21">
        <f t="shared" ca="1" si="175"/>
        <v>0</v>
      </c>
      <c r="Z38" s="21">
        <f t="shared" ca="1" si="175"/>
        <v>0</v>
      </c>
      <c r="AA38" s="21">
        <f t="shared" ca="1" si="175"/>
        <v>0</v>
      </c>
      <c r="AB38" s="21">
        <f t="shared" ca="1" si="175"/>
        <v>0</v>
      </c>
      <c r="AC38" s="21">
        <f t="shared" ca="1" si="175"/>
        <v>0</v>
      </c>
      <c r="AD38" s="21">
        <f t="shared" ca="1" si="175"/>
        <v>0</v>
      </c>
      <c r="AE38" s="21">
        <f t="shared" ca="1" si="175"/>
        <v>0</v>
      </c>
      <c r="AF38" s="21">
        <f t="shared" ca="1" si="175"/>
        <v>0</v>
      </c>
      <c r="AG38" s="21">
        <f t="shared" ca="1" si="175"/>
        <v>0</v>
      </c>
      <c r="AH38" s="21">
        <f t="shared" ca="1" si="175"/>
        <v>0</v>
      </c>
      <c r="AI38" s="21">
        <f t="shared" ref="AI38:BN38" ca="1" si="176">IFERROR(AI37/AI27,0)</f>
        <v>0</v>
      </c>
      <c r="AJ38" s="21">
        <f t="shared" ca="1" si="176"/>
        <v>0</v>
      </c>
      <c r="AK38" s="21">
        <f t="shared" ca="1" si="176"/>
        <v>0</v>
      </c>
      <c r="AL38" s="21">
        <f t="shared" ca="1" si="176"/>
        <v>0</v>
      </c>
      <c r="AM38" s="21">
        <f t="shared" ca="1" si="176"/>
        <v>0</v>
      </c>
      <c r="AN38" s="21">
        <f t="shared" ca="1" si="176"/>
        <v>0</v>
      </c>
      <c r="AO38" s="21">
        <f t="shared" ca="1" si="176"/>
        <v>0</v>
      </c>
      <c r="AP38" s="21">
        <f t="shared" ca="1" si="176"/>
        <v>0</v>
      </c>
      <c r="AQ38" s="21">
        <f t="shared" ca="1" si="176"/>
        <v>0</v>
      </c>
      <c r="AR38" s="21">
        <f t="shared" ca="1" si="176"/>
        <v>0</v>
      </c>
      <c r="AS38" s="21">
        <f t="shared" ca="1" si="176"/>
        <v>0</v>
      </c>
      <c r="AT38" s="21">
        <f t="shared" ca="1" si="176"/>
        <v>0</v>
      </c>
      <c r="AU38" s="21">
        <f t="shared" ca="1" si="176"/>
        <v>0</v>
      </c>
      <c r="AV38" s="21">
        <f t="shared" ca="1" si="176"/>
        <v>0</v>
      </c>
      <c r="AW38" s="21">
        <f t="shared" ca="1" si="176"/>
        <v>0</v>
      </c>
      <c r="AX38" s="21">
        <f t="shared" ca="1" si="176"/>
        <v>0</v>
      </c>
      <c r="AY38" s="21">
        <f t="shared" ca="1" si="176"/>
        <v>0</v>
      </c>
      <c r="AZ38" s="21">
        <f t="shared" ca="1" si="176"/>
        <v>0</v>
      </c>
      <c r="BA38" s="21">
        <f t="shared" ca="1" si="176"/>
        <v>0</v>
      </c>
      <c r="BB38" s="21">
        <f t="shared" ca="1" si="176"/>
        <v>0</v>
      </c>
      <c r="BC38" s="21">
        <f t="shared" ca="1" si="176"/>
        <v>0</v>
      </c>
      <c r="BD38" s="21">
        <f t="shared" ca="1" si="176"/>
        <v>0</v>
      </c>
      <c r="BE38" s="21">
        <f t="shared" ca="1" si="176"/>
        <v>0</v>
      </c>
      <c r="BF38" s="21">
        <f t="shared" ca="1" si="176"/>
        <v>0</v>
      </c>
      <c r="BG38" s="21">
        <f t="shared" ca="1" si="176"/>
        <v>0</v>
      </c>
      <c r="BH38" s="21">
        <f t="shared" ca="1" si="176"/>
        <v>0</v>
      </c>
      <c r="BI38" s="21">
        <f t="shared" ca="1" si="176"/>
        <v>0</v>
      </c>
      <c r="BJ38" s="21">
        <f t="shared" ca="1" si="176"/>
        <v>0</v>
      </c>
      <c r="BK38" s="21">
        <f t="shared" ca="1" si="176"/>
        <v>0</v>
      </c>
      <c r="BL38" s="21">
        <f t="shared" ca="1" si="176"/>
        <v>0</v>
      </c>
      <c r="BM38" s="21">
        <f t="shared" ca="1" si="176"/>
        <v>0</v>
      </c>
      <c r="BN38" s="21">
        <f t="shared" ca="1" si="176"/>
        <v>0</v>
      </c>
      <c r="BO38" s="21">
        <f t="shared" ref="BO38:CD38" ca="1" si="177">IFERROR(BO37/BO27,0)</f>
        <v>0</v>
      </c>
      <c r="BP38" s="21">
        <f t="shared" ca="1" si="177"/>
        <v>0</v>
      </c>
      <c r="BQ38" s="21">
        <f t="shared" ca="1" si="177"/>
        <v>0</v>
      </c>
      <c r="BR38" s="21">
        <f t="shared" ca="1" si="177"/>
        <v>0</v>
      </c>
      <c r="BS38" s="21">
        <f t="shared" ca="1" si="177"/>
        <v>0</v>
      </c>
      <c r="BT38" s="21">
        <f t="shared" ca="1" si="177"/>
        <v>0</v>
      </c>
      <c r="BU38" s="21">
        <f t="shared" ca="1" si="177"/>
        <v>0</v>
      </c>
      <c r="BV38" s="21">
        <f t="shared" ca="1" si="177"/>
        <v>0</v>
      </c>
      <c r="BW38" s="21">
        <f t="shared" ca="1" si="177"/>
        <v>0</v>
      </c>
      <c r="BX38" s="21">
        <f t="shared" ca="1" si="177"/>
        <v>0</v>
      </c>
      <c r="BY38" s="21">
        <f t="shared" ca="1" si="177"/>
        <v>0</v>
      </c>
      <c r="BZ38" s="21">
        <f t="shared" ca="1" si="177"/>
        <v>0</v>
      </c>
      <c r="CA38" s="21">
        <f t="shared" ca="1" si="177"/>
        <v>0</v>
      </c>
      <c r="CB38" s="21">
        <f t="shared" ca="1" si="177"/>
        <v>0</v>
      </c>
      <c r="CC38" s="21">
        <f t="shared" ca="1" si="177"/>
        <v>0</v>
      </c>
      <c r="CD38" s="21">
        <f t="shared" si="177"/>
        <v>0</v>
      </c>
      <c r="CG38" s="53">
        <f ca="1">CG37/CG27</f>
        <v>0.28819999999999996</v>
      </c>
    </row>
    <row r="39" spans="1:85" x14ac:dyDescent="0.35">
      <c r="A39" s="34" t="s">
        <v>35</v>
      </c>
      <c r="C39" s="35">
        <f>-B20</f>
        <v>0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</row>
    <row r="40" spans="1:85" ht="24" customHeight="1" x14ac:dyDescent="0.35">
      <c r="A40" s="12" t="s">
        <v>20</v>
      </c>
      <c r="B40" s="13"/>
      <c r="C40" s="38">
        <f ca="1">C37+C39-C34</f>
        <v>-111616.872015</v>
      </c>
      <c r="D40" s="36">
        <f t="shared" ref="D40:BO40" ca="1" si="178">D37+D39-D34</f>
        <v>0</v>
      </c>
      <c r="E40" s="36">
        <f t="shared" ca="1" si="178"/>
        <v>0</v>
      </c>
      <c r="F40" s="36">
        <f t="shared" ca="1" si="178"/>
        <v>168511.07525999998</v>
      </c>
      <c r="G40" s="36">
        <f t="shared" ca="1" si="178"/>
        <v>0</v>
      </c>
      <c r="H40" s="36">
        <f t="shared" ca="1" si="178"/>
        <v>0</v>
      </c>
      <c r="I40" s="36">
        <f t="shared" ca="1" si="178"/>
        <v>0</v>
      </c>
      <c r="J40" s="36">
        <f t="shared" ca="1" si="178"/>
        <v>0</v>
      </c>
      <c r="K40" s="36">
        <f t="shared" ca="1" si="178"/>
        <v>0</v>
      </c>
      <c r="L40" s="36">
        <f t="shared" ca="1" si="178"/>
        <v>0</v>
      </c>
      <c r="M40" s="36">
        <f t="shared" ca="1" si="178"/>
        <v>0</v>
      </c>
      <c r="N40" s="36">
        <f t="shared" ca="1" si="178"/>
        <v>0</v>
      </c>
      <c r="O40" s="36">
        <f t="shared" ca="1" si="178"/>
        <v>0</v>
      </c>
      <c r="P40" s="36">
        <f t="shared" ca="1" si="178"/>
        <v>0</v>
      </c>
      <c r="Q40" s="36">
        <f t="shared" ca="1" si="178"/>
        <v>0</v>
      </c>
      <c r="R40" s="36">
        <f t="shared" ca="1" si="178"/>
        <v>0</v>
      </c>
      <c r="S40" s="36">
        <f t="shared" ca="1" si="178"/>
        <v>0</v>
      </c>
      <c r="T40" s="36">
        <f t="shared" ca="1" si="178"/>
        <v>0</v>
      </c>
      <c r="U40" s="36">
        <f t="shared" ca="1" si="178"/>
        <v>0</v>
      </c>
      <c r="V40" s="36">
        <f t="shared" ca="1" si="178"/>
        <v>0</v>
      </c>
      <c r="W40" s="36">
        <f t="shared" ca="1" si="178"/>
        <v>0</v>
      </c>
      <c r="X40" s="36">
        <f t="shared" ca="1" si="178"/>
        <v>0</v>
      </c>
      <c r="Y40" s="36">
        <f t="shared" ca="1" si="178"/>
        <v>0</v>
      </c>
      <c r="Z40" s="36">
        <f t="shared" ca="1" si="178"/>
        <v>0</v>
      </c>
      <c r="AA40" s="36">
        <f t="shared" ca="1" si="178"/>
        <v>0</v>
      </c>
      <c r="AB40" s="36">
        <f t="shared" ca="1" si="178"/>
        <v>0</v>
      </c>
      <c r="AC40" s="36">
        <f t="shared" ca="1" si="178"/>
        <v>0</v>
      </c>
      <c r="AD40" s="36">
        <f t="shared" ca="1" si="178"/>
        <v>0</v>
      </c>
      <c r="AE40" s="36">
        <f t="shared" ca="1" si="178"/>
        <v>0</v>
      </c>
      <c r="AF40" s="36">
        <f t="shared" ca="1" si="178"/>
        <v>0</v>
      </c>
      <c r="AG40" s="36">
        <f t="shared" ca="1" si="178"/>
        <v>0</v>
      </c>
      <c r="AH40" s="36">
        <f t="shared" ca="1" si="178"/>
        <v>0</v>
      </c>
      <c r="AI40" s="36">
        <f t="shared" ca="1" si="178"/>
        <v>0</v>
      </c>
      <c r="AJ40" s="36">
        <f t="shared" ca="1" si="178"/>
        <v>0</v>
      </c>
      <c r="AK40" s="36">
        <f t="shared" ca="1" si="178"/>
        <v>0</v>
      </c>
      <c r="AL40" s="36">
        <f t="shared" ca="1" si="178"/>
        <v>0</v>
      </c>
      <c r="AM40" s="36">
        <f t="shared" ca="1" si="178"/>
        <v>0</v>
      </c>
      <c r="AN40" s="36">
        <f t="shared" ca="1" si="178"/>
        <v>0</v>
      </c>
      <c r="AO40" s="36">
        <f t="shared" ca="1" si="178"/>
        <v>0</v>
      </c>
      <c r="AP40" s="36">
        <f t="shared" ca="1" si="178"/>
        <v>0</v>
      </c>
      <c r="AQ40" s="36">
        <f t="shared" ca="1" si="178"/>
        <v>0</v>
      </c>
      <c r="AR40" s="36">
        <f t="shared" ca="1" si="178"/>
        <v>0</v>
      </c>
      <c r="AS40" s="36">
        <f t="shared" ca="1" si="178"/>
        <v>0</v>
      </c>
      <c r="AT40" s="36">
        <f t="shared" ca="1" si="178"/>
        <v>0</v>
      </c>
      <c r="AU40" s="36">
        <f t="shared" ca="1" si="178"/>
        <v>0</v>
      </c>
      <c r="AV40" s="36">
        <f t="shared" ca="1" si="178"/>
        <v>0</v>
      </c>
      <c r="AW40" s="36">
        <f t="shared" ca="1" si="178"/>
        <v>0</v>
      </c>
      <c r="AX40" s="36">
        <f t="shared" ca="1" si="178"/>
        <v>0</v>
      </c>
      <c r="AY40" s="36">
        <f t="shared" ca="1" si="178"/>
        <v>0</v>
      </c>
      <c r="AZ40" s="36">
        <f t="shared" ca="1" si="178"/>
        <v>0</v>
      </c>
      <c r="BA40" s="36">
        <f t="shared" ca="1" si="178"/>
        <v>0</v>
      </c>
      <c r="BB40" s="36">
        <f t="shared" ca="1" si="178"/>
        <v>0</v>
      </c>
      <c r="BC40" s="36">
        <f t="shared" ca="1" si="178"/>
        <v>0</v>
      </c>
      <c r="BD40" s="36">
        <f t="shared" ca="1" si="178"/>
        <v>0</v>
      </c>
      <c r="BE40" s="36">
        <f t="shared" ca="1" si="178"/>
        <v>0</v>
      </c>
      <c r="BF40" s="36">
        <f t="shared" ca="1" si="178"/>
        <v>0</v>
      </c>
      <c r="BG40" s="36">
        <f t="shared" ca="1" si="178"/>
        <v>0</v>
      </c>
      <c r="BH40" s="36">
        <f t="shared" ca="1" si="178"/>
        <v>0</v>
      </c>
      <c r="BI40" s="36">
        <f t="shared" ca="1" si="178"/>
        <v>0</v>
      </c>
      <c r="BJ40" s="36">
        <f t="shared" ca="1" si="178"/>
        <v>0</v>
      </c>
      <c r="BK40" s="36">
        <f t="shared" ca="1" si="178"/>
        <v>0</v>
      </c>
      <c r="BL40" s="36">
        <f t="shared" ca="1" si="178"/>
        <v>0</v>
      </c>
      <c r="BM40" s="36">
        <f t="shared" ca="1" si="178"/>
        <v>0</v>
      </c>
      <c r="BN40" s="36">
        <f t="shared" ca="1" si="178"/>
        <v>0</v>
      </c>
      <c r="BO40" s="36">
        <f t="shared" ca="1" si="178"/>
        <v>0</v>
      </c>
      <c r="BP40" s="36">
        <f t="shared" ref="BP40:CD40" ca="1" si="179">BP37+BP39-BP34</f>
        <v>0</v>
      </c>
      <c r="BQ40" s="36">
        <f t="shared" ca="1" si="179"/>
        <v>0</v>
      </c>
      <c r="BR40" s="36">
        <f t="shared" ca="1" si="179"/>
        <v>0</v>
      </c>
      <c r="BS40" s="36">
        <f t="shared" ca="1" si="179"/>
        <v>0</v>
      </c>
      <c r="BT40" s="36">
        <f t="shared" ca="1" si="179"/>
        <v>0</v>
      </c>
      <c r="BU40" s="36">
        <f t="shared" ca="1" si="179"/>
        <v>0</v>
      </c>
      <c r="BV40" s="36">
        <f t="shared" ca="1" si="179"/>
        <v>0</v>
      </c>
      <c r="BW40" s="36">
        <f t="shared" ca="1" si="179"/>
        <v>0</v>
      </c>
      <c r="BX40" s="36">
        <f t="shared" ca="1" si="179"/>
        <v>0</v>
      </c>
      <c r="BY40" s="36">
        <f t="shared" ca="1" si="179"/>
        <v>0</v>
      </c>
      <c r="BZ40" s="36">
        <f t="shared" ca="1" si="179"/>
        <v>0</v>
      </c>
      <c r="CA40" s="36">
        <f t="shared" ca="1" si="179"/>
        <v>0</v>
      </c>
      <c r="CB40" s="36">
        <f t="shared" ca="1" si="179"/>
        <v>0</v>
      </c>
      <c r="CC40" s="36">
        <f t="shared" ca="1" si="179"/>
        <v>0</v>
      </c>
      <c r="CD40" s="36">
        <f t="shared" si="179"/>
        <v>0</v>
      </c>
    </row>
    <row r="41" spans="1:85" x14ac:dyDescent="0.35">
      <c r="A41" s="14" t="s">
        <v>14</v>
      </c>
      <c r="B41" s="15"/>
      <c r="C41" s="16">
        <f t="shared" ref="C41:BN41" si="180">(1+$B$4)^C$22</f>
        <v>1</v>
      </c>
      <c r="D41" s="16">
        <f t="shared" si="180"/>
        <v>1.016986336636871</v>
      </c>
      <c r="E41" s="16">
        <f t="shared" si="180"/>
        <v>1.0342612089060832</v>
      </c>
      <c r="F41" s="16">
        <f t="shared" si="180"/>
        <v>1.0518295179710191</v>
      </c>
      <c r="G41" s="16">
        <f t="shared" si="180"/>
        <v>1.0696962482478727</v>
      </c>
      <c r="H41" s="16">
        <f t="shared" si="180"/>
        <v>1.087866468819809</v>
      </c>
      <c r="I41" s="16">
        <f t="shared" si="180"/>
        <v>1.1063453348751464</v>
      </c>
      <c r="J41" s="16">
        <f t="shared" si="180"/>
        <v>1.1251380891699676</v>
      </c>
      <c r="K41" s="16">
        <f t="shared" si="180"/>
        <v>1.1442500635155746</v>
      </c>
      <c r="L41" s="16">
        <f t="shared" si="180"/>
        <v>1.1636866802912111</v>
      </c>
      <c r="M41" s="16">
        <f t="shared" si="180"/>
        <v>1.1834534539824806</v>
      </c>
      <c r="N41" s="16">
        <f t="shared" si="180"/>
        <v>1.2035559927458948</v>
      </c>
      <c r="O41" s="16">
        <f t="shared" si="180"/>
        <v>1.2240000000000002</v>
      </c>
      <c r="P41" s="16">
        <f t="shared" si="180"/>
        <v>1.2447912760435302</v>
      </c>
      <c r="Q41" s="16">
        <f t="shared" si="180"/>
        <v>1.2659357197010459</v>
      </c>
      <c r="R41" s="16">
        <f t="shared" si="180"/>
        <v>1.2874393299965277</v>
      </c>
      <c r="S41" s="16">
        <f t="shared" si="180"/>
        <v>1.3093082078553964</v>
      </c>
      <c r="T41" s="16">
        <f t="shared" si="180"/>
        <v>1.3315485578354465</v>
      </c>
      <c r="U41" s="16">
        <f t="shared" si="180"/>
        <v>1.3541666898871796</v>
      </c>
      <c r="V41" s="16">
        <f t="shared" si="180"/>
        <v>1.3771690211440404</v>
      </c>
      <c r="W41" s="16">
        <f t="shared" si="180"/>
        <v>1.4005620777430634</v>
      </c>
      <c r="X41" s="16">
        <f t="shared" si="180"/>
        <v>1.4243524966764425</v>
      </c>
      <c r="Y41" s="16">
        <f t="shared" si="180"/>
        <v>1.4485470276745562</v>
      </c>
      <c r="Z41" s="16">
        <f t="shared" si="180"/>
        <v>1.4731525351209753</v>
      </c>
      <c r="AA41" s="16">
        <f t="shared" si="180"/>
        <v>1.4981760000000004</v>
      </c>
      <c r="AB41" s="16">
        <f t="shared" si="180"/>
        <v>1.5236245218772813</v>
      </c>
      <c r="AC41" s="16">
        <f t="shared" si="180"/>
        <v>1.5495053209140806</v>
      </c>
      <c r="AD41" s="16">
        <f t="shared" si="180"/>
        <v>1.5758257399157498</v>
      </c>
      <c r="AE41" s="16">
        <f t="shared" si="180"/>
        <v>1.6025932464150054</v>
      </c>
      <c r="AF41" s="16">
        <f t="shared" si="180"/>
        <v>1.6298154347905867</v>
      </c>
      <c r="AG41" s="16">
        <f t="shared" si="180"/>
        <v>1.6575000284219079</v>
      </c>
      <c r="AH41" s="16">
        <f t="shared" si="180"/>
        <v>1.6856548818803059</v>
      </c>
      <c r="AI41" s="16">
        <f t="shared" si="180"/>
        <v>1.7142879831575097</v>
      </c>
      <c r="AJ41" s="16">
        <f t="shared" si="180"/>
        <v>1.7434074559319659</v>
      </c>
      <c r="AK41" s="16">
        <f t="shared" si="180"/>
        <v>1.7730215618736571</v>
      </c>
      <c r="AL41" s="16">
        <f t="shared" si="180"/>
        <v>1.8031387029880739</v>
      </c>
      <c r="AM41" s="16">
        <f t="shared" si="180"/>
        <v>1.8337674240000006</v>
      </c>
      <c r="AN41" s="16">
        <f t="shared" si="180"/>
        <v>1.8649164147777924</v>
      </c>
      <c r="AO41" s="16">
        <f t="shared" si="180"/>
        <v>1.8965945127988344</v>
      </c>
      <c r="AP41" s="16">
        <f t="shared" si="180"/>
        <v>1.9288107056568782</v>
      </c>
      <c r="AQ41" s="16">
        <f t="shared" si="180"/>
        <v>1.9615741336119668</v>
      </c>
      <c r="AR41" s="16">
        <f t="shared" si="180"/>
        <v>1.9948940921836782</v>
      </c>
      <c r="AS41" s="16">
        <f t="shared" si="180"/>
        <v>2.0287800347884155</v>
      </c>
      <c r="AT41" s="16">
        <f t="shared" si="180"/>
        <v>2.0632415754214946</v>
      </c>
      <c r="AU41" s="16">
        <f t="shared" si="180"/>
        <v>2.0982884913847921</v>
      </c>
      <c r="AV41" s="16">
        <f t="shared" si="180"/>
        <v>2.1339307260607265</v>
      </c>
      <c r="AW41" s="16">
        <f t="shared" si="180"/>
        <v>2.1701783917333564</v>
      </c>
      <c r="AX41" s="16">
        <f t="shared" si="180"/>
        <v>2.2070417724574032</v>
      </c>
      <c r="AY41" s="16">
        <f t="shared" si="180"/>
        <v>2.2445313269760008</v>
      </c>
      <c r="AZ41" s="16">
        <f t="shared" si="180"/>
        <v>2.2826576916880184</v>
      </c>
      <c r="BA41" s="16">
        <f t="shared" si="180"/>
        <v>2.3214316836657742</v>
      </c>
      <c r="BB41" s="16">
        <f t="shared" si="180"/>
        <v>2.3608643037240187</v>
      </c>
      <c r="BC41" s="16">
        <f t="shared" si="180"/>
        <v>2.4009667395410474</v>
      </c>
      <c r="BD41" s="16">
        <f t="shared" si="180"/>
        <v>2.4417503688328224</v>
      </c>
      <c r="BE41" s="16">
        <f t="shared" si="180"/>
        <v>2.4832267625810203</v>
      </c>
      <c r="BF41" s="16">
        <f t="shared" si="180"/>
        <v>2.5254076883159091</v>
      </c>
      <c r="BG41" s="16">
        <f t="shared" si="180"/>
        <v>2.5683051134549859</v>
      </c>
      <c r="BH41" s="16">
        <f t="shared" si="180"/>
        <v>2.6119312086983295</v>
      </c>
      <c r="BI41" s="16">
        <f t="shared" si="180"/>
        <v>2.6562983514816292</v>
      </c>
      <c r="BJ41" s="16">
        <f t="shared" si="180"/>
        <v>2.7014191294878613</v>
      </c>
      <c r="BK41" s="16">
        <f t="shared" si="180"/>
        <v>2.7473063442186256</v>
      </c>
      <c r="BL41" s="16">
        <f t="shared" si="180"/>
        <v>2.7939730146261348</v>
      </c>
      <c r="BM41" s="16">
        <f t="shared" si="180"/>
        <v>2.8414323808069075</v>
      </c>
      <c r="BN41" s="16">
        <f t="shared" si="180"/>
        <v>2.8896979077581997</v>
      </c>
      <c r="BO41" s="16">
        <f t="shared" ref="BO41:CD41" si="181">(1+$B$4)^BO$22</f>
        <v>2.9387832891982426</v>
      </c>
      <c r="BP41" s="16">
        <f t="shared" si="181"/>
        <v>2.9887024514513749</v>
      </c>
      <c r="BQ41" s="16">
        <f t="shared" si="181"/>
        <v>3.0394695573991699</v>
      </c>
      <c r="BR41" s="16">
        <f t="shared" si="181"/>
        <v>3.0910990104986733</v>
      </c>
      <c r="BS41" s="16">
        <f t="shared" si="181"/>
        <v>3.1436054588689033</v>
      </c>
      <c r="BT41" s="16">
        <f t="shared" si="181"/>
        <v>3.1970037994467555</v>
      </c>
      <c r="BU41" s="16">
        <f t="shared" si="181"/>
        <v>3.2513091822135141</v>
      </c>
      <c r="BV41" s="16">
        <f t="shared" si="181"/>
        <v>3.3065370144931432</v>
      </c>
      <c r="BW41" s="16">
        <f t="shared" si="181"/>
        <v>3.362702965323598</v>
      </c>
      <c r="BX41" s="16">
        <f t="shared" si="181"/>
        <v>3.4198229699023894</v>
      </c>
      <c r="BY41" s="16">
        <f t="shared" si="181"/>
        <v>3.4779132341076555</v>
      </c>
      <c r="BZ41" s="16">
        <f t="shared" si="181"/>
        <v>3.5369902390960366</v>
      </c>
      <c r="CA41" s="16">
        <f t="shared" si="181"/>
        <v>3.5970707459786495</v>
      </c>
      <c r="CB41" s="16">
        <f t="shared" si="181"/>
        <v>3.6581718005764832</v>
      </c>
      <c r="CC41" s="16">
        <f t="shared" si="181"/>
        <v>3.7203107382565843</v>
      </c>
      <c r="CD41" s="16">
        <f t="shared" si="181"/>
        <v>3.7835051888503775</v>
      </c>
    </row>
    <row r="42" spans="1:85" x14ac:dyDescent="0.35">
      <c r="A42" s="17" t="s">
        <v>21</v>
      </c>
      <c r="B42" s="18"/>
      <c r="C42" s="42">
        <f ca="1">C40/C41</f>
        <v>-111616.872015</v>
      </c>
      <c r="D42" s="43">
        <f t="shared" ref="D42:I42" ca="1" si="182">D40/D41</f>
        <v>0</v>
      </c>
      <c r="E42" s="43">
        <f t="shared" ca="1" si="182"/>
        <v>0</v>
      </c>
      <c r="F42" s="43">
        <f t="shared" ca="1" si="182"/>
        <v>160207.59294249333</v>
      </c>
      <c r="G42" s="43">
        <f t="shared" ca="1" si="182"/>
        <v>0</v>
      </c>
      <c r="H42" s="43">
        <f t="shared" ca="1" si="182"/>
        <v>0</v>
      </c>
      <c r="I42" s="43">
        <f t="shared" ca="1" si="182"/>
        <v>0</v>
      </c>
      <c r="J42" s="43">
        <f t="shared" ref="J42:BU42" ca="1" si="183">J40/J41</f>
        <v>0</v>
      </c>
      <c r="K42" s="43">
        <f t="shared" ca="1" si="183"/>
        <v>0</v>
      </c>
      <c r="L42" s="43">
        <f t="shared" ca="1" si="183"/>
        <v>0</v>
      </c>
      <c r="M42" s="43">
        <f t="shared" ca="1" si="183"/>
        <v>0</v>
      </c>
      <c r="N42" s="43">
        <f t="shared" ca="1" si="183"/>
        <v>0</v>
      </c>
      <c r="O42" s="43">
        <f t="shared" ca="1" si="183"/>
        <v>0</v>
      </c>
      <c r="P42" s="43">
        <f t="shared" ca="1" si="183"/>
        <v>0</v>
      </c>
      <c r="Q42" s="43">
        <f t="shared" ca="1" si="183"/>
        <v>0</v>
      </c>
      <c r="R42" s="43">
        <f t="shared" ca="1" si="183"/>
        <v>0</v>
      </c>
      <c r="S42" s="43">
        <f t="shared" ca="1" si="183"/>
        <v>0</v>
      </c>
      <c r="T42" s="43">
        <f t="shared" ca="1" si="183"/>
        <v>0</v>
      </c>
      <c r="U42" s="43">
        <f t="shared" ca="1" si="183"/>
        <v>0</v>
      </c>
      <c r="V42" s="43">
        <f t="shared" ca="1" si="183"/>
        <v>0</v>
      </c>
      <c r="W42" s="43">
        <f t="shared" ca="1" si="183"/>
        <v>0</v>
      </c>
      <c r="X42" s="43">
        <f t="shared" ca="1" si="183"/>
        <v>0</v>
      </c>
      <c r="Y42" s="43">
        <f t="shared" ca="1" si="183"/>
        <v>0</v>
      </c>
      <c r="Z42" s="43">
        <f t="shared" ca="1" si="183"/>
        <v>0</v>
      </c>
      <c r="AA42" s="43">
        <f t="shared" ca="1" si="183"/>
        <v>0</v>
      </c>
      <c r="AB42" s="43">
        <f t="shared" ca="1" si="183"/>
        <v>0</v>
      </c>
      <c r="AC42" s="43">
        <f t="shared" ca="1" si="183"/>
        <v>0</v>
      </c>
      <c r="AD42" s="43">
        <f t="shared" ca="1" si="183"/>
        <v>0</v>
      </c>
      <c r="AE42" s="43">
        <f t="shared" ca="1" si="183"/>
        <v>0</v>
      </c>
      <c r="AF42" s="43">
        <f t="shared" ca="1" si="183"/>
        <v>0</v>
      </c>
      <c r="AG42" s="43">
        <f t="shared" ca="1" si="183"/>
        <v>0</v>
      </c>
      <c r="AH42" s="43">
        <f t="shared" ca="1" si="183"/>
        <v>0</v>
      </c>
      <c r="AI42" s="43">
        <f t="shared" ca="1" si="183"/>
        <v>0</v>
      </c>
      <c r="AJ42" s="43">
        <f t="shared" ca="1" si="183"/>
        <v>0</v>
      </c>
      <c r="AK42" s="43">
        <f t="shared" ca="1" si="183"/>
        <v>0</v>
      </c>
      <c r="AL42" s="43">
        <f t="shared" ca="1" si="183"/>
        <v>0</v>
      </c>
      <c r="AM42" s="43">
        <f t="shared" ca="1" si="183"/>
        <v>0</v>
      </c>
      <c r="AN42" s="43">
        <f t="shared" ca="1" si="183"/>
        <v>0</v>
      </c>
      <c r="AO42" s="43">
        <f t="shared" ca="1" si="183"/>
        <v>0</v>
      </c>
      <c r="AP42" s="43">
        <f t="shared" ca="1" si="183"/>
        <v>0</v>
      </c>
      <c r="AQ42" s="43">
        <f t="shared" ca="1" si="183"/>
        <v>0</v>
      </c>
      <c r="AR42" s="43">
        <f t="shared" ca="1" si="183"/>
        <v>0</v>
      </c>
      <c r="AS42" s="43">
        <f t="shared" ca="1" si="183"/>
        <v>0</v>
      </c>
      <c r="AT42" s="43">
        <f t="shared" ca="1" si="183"/>
        <v>0</v>
      </c>
      <c r="AU42" s="43">
        <f t="shared" ca="1" si="183"/>
        <v>0</v>
      </c>
      <c r="AV42" s="43">
        <f t="shared" ca="1" si="183"/>
        <v>0</v>
      </c>
      <c r="AW42" s="43">
        <f t="shared" ca="1" si="183"/>
        <v>0</v>
      </c>
      <c r="AX42" s="43">
        <f t="shared" ca="1" si="183"/>
        <v>0</v>
      </c>
      <c r="AY42" s="43">
        <f t="shared" ca="1" si="183"/>
        <v>0</v>
      </c>
      <c r="AZ42" s="43">
        <f t="shared" ca="1" si="183"/>
        <v>0</v>
      </c>
      <c r="BA42" s="43">
        <f t="shared" ca="1" si="183"/>
        <v>0</v>
      </c>
      <c r="BB42" s="43">
        <f t="shared" ca="1" si="183"/>
        <v>0</v>
      </c>
      <c r="BC42" s="43">
        <f t="shared" ca="1" si="183"/>
        <v>0</v>
      </c>
      <c r="BD42" s="43">
        <f t="shared" ca="1" si="183"/>
        <v>0</v>
      </c>
      <c r="BE42" s="43">
        <f t="shared" ca="1" si="183"/>
        <v>0</v>
      </c>
      <c r="BF42" s="43">
        <f t="shared" ca="1" si="183"/>
        <v>0</v>
      </c>
      <c r="BG42" s="43">
        <f t="shared" ca="1" si="183"/>
        <v>0</v>
      </c>
      <c r="BH42" s="43">
        <f t="shared" ca="1" si="183"/>
        <v>0</v>
      </c>
      <c r="BI42" s="43">
        <f t="shared" ca="1" si="183"/>
        <v>0</v>
      </c>
      <c r="BJ42" s="43">
        <f t="shared" ca="1" si="183"/>
        <v>0</v>
      </c>
      <c r="BK42" s="43">
        <f t="shared" ca="1" si="183"/>
        <v>0</v>
      </c>
      <c r="BL42" s="43">
        <f t="shared" ca="1" si="183"/>
        <v>0</v>
      </c>
      <c r="BM42" s="43">
        <f t="shared" ca="1" si="183"/>
        <v>0</v>
      </c>
      <c r="BN42" s="43">
        <f t="shared" ca="1" si="183"/>
        <v>0</v>
      </c>
      <c r="BO42" s="43">
        <f t="shared" ca="1" si="183"/>
        <v>0</v>
      </c>
      <c r="BP42" s="43">
        <f t="shared" ca="1" si="183"/>
        <v>0</v>
      </c>
      <c r="BQ42" s="43">
        <f t="shared" ca="1" si="183"/>
        <v>0</v>
      </c>
      <c r="BR42" s="43">
        <f t="shared" ca="1" si="183"/>
        <v>0</v>
      </c>
      <c r="BS42" s="43">
        <f t="shared" ca="1" si="183"/>
        <v>0</v>
      </c>
      <c r="BT42" s="43">
        <f t="shared" ca="1" si="183"/>
        <v>0</v>
      </c>
      <c r="BU42" s="43">
        <f t="shared" ca="1" si="183"/>
        <v>0</v>
      </c>
      <c r="BV42" s="43">
        <f t="shared" ref="BV42:CD42" ca="1" si="184">BV40/BV41</f>
        <v>0</v>
      </c>
      <c r="BW42" s="43">
        <f t="shared" ca="1" si="184"/>
        <v>0</v>
      </c>
      <c r="BX42" s="43">
        <f t="shared" ca="1" si="184"/>
        <v>0</v>
      </c>
      <c r="BY42" s="43">
        <f t="shared" ca="1" si="184"/>
        <v>0</v>
      </c>
      <c r="BZ42" s="43">
        <f t="shared" ca="1" si="184"/>
        <v>0</v>
      </c>
      <c r="CA42" s="43">
        <f t="shared" ca="1" si="184"/>
        <v>0</v>
      </c>
      <c r="CB42" s="43">
        <f t="shared" ca="1" si="184"/>
        <v>0</v>
      </c>
      <c r="CC42" s="43">
        <f t="shared" ca="1" si="184"/>
        <v>0</v>
      </c>
      <c r="CD42" s="43">
        <f t="shared" si="184"/>
        <v>0</v>
      </c>
    </row>
    <row r="43" spans="1:85" x14ac:dyDescent="0.35">
      <c r="A43" s="27" t="s">
        <v>34</v>
      </c>
      <c r="C43" s="44">
        <f ca="1">SUM($C42:C42)</f>
        <v>-111616.872015</v>
      </c>
      <c r="D43" s="44">
        <f ca="1">SUM($C42:D42)</f>
        <v>-111616.872015</v>
      </c>
      <c r="E43" s="44">
        <f ca="1">SUM($C42:E42)</f>
        <v>-111616.872015</v>
      </c>
      <c r="F43" s="44">
        <f ca="1">SUM($C42:F42)</f>
        <v>48590.720927493327</v>
      </c>
      <c r="G43" s="44">
        <f ca="1">SUM($C42:G42)</f>
        <v>48590.720927493327</v>
      </c>
      <c r="H43" s="44">
        <f ca="1">SUM($C42:H42)</f>
        <v>48590.720927493327</v>
      </c>
      <c r="I43" s="44">
        <f ca="1">SUM($C42:I42)</f>
        <v>48590.720927493327</v>
      </c>
      <c r="J43" s="44">
        <f ca="1">SUM($C42:J42)</f>
        <v>48590.720927493327</v>
      </c>
      <c r="K43" s="44">
        <f ca="1">SUM($C42:K42)</f>
        <v>48590.720927493327</v>
      </c>
      <c r="L43" s="44">
        <f ca="1">SUM($C42:L42)</f>
        <v>48590.720927493327</v>
      </c>
      <c r="M43" s="44">
        <f ca="1">SUM($C42:M42)</f>
        <v>48590.720927493327</v>
      </c>
      <c r="N43" s="44">
        <f ca="1">SUM($C42:N42)</f>
        <v>48590.720927493327</v>
      </c>
      <c r="O43" s="44">
        <f ca="1">SUM($C42:O42)</f>
        <v>48590.720927493327</v>
      </c>
      <c r="P43" s="44">
        <f ca="1">SUM($C42:P42)</f>
        <v>48590.720927493327</v>
      </c>
      <c r="Q43" s="44">
        <f ca="1">SUM($C42:Q42)</f>
        <v>48590.720927493327</v>
      </c>
      <c r="R43" s="44">
        <f ca="1">SUM($C42:R42)</f>
        <v>48590.720927493327</v>
      </c>
      <c r="S43" s="44">
        <f ca="1">SUM($C42:S42)</f>
        <v>48590.720927493327</v>
      </c>
      <c r="T43" s="44">
        <f ca="1">SUM($C42:T42)</f>
        <v>48590.720927493327</v>
      </c>
      <c r="U43" s="44">
        <f ca="1">SUM($C42:U42)</f>
        <v>48590.720927493327</v>
      </c>
      <c r="V43" s="44">
        <f ca="1">SUM($C42:V42)</f>
        <v>48590.720927493327</v>
      </c>
      <c r="W43" s="44">
        <f ca="1">SUM($C42:W42)</f>
        <v>48590.720927493327</v>
      </c>
      <c r="X43" s="44">
        <f ca="1">SUM($C42:X42)</f>
        <v>48590.720927493327</v>
      </c>
      <c r="Y43" s="44">
        <f ca="1">SUM($C42:Y42)</f>
        <v>48590.720927493327</v>
      </c>
      <c r="Z43" s="44">
        <f ca="1">SUM($C42:Z42)</f>
        <v>48590.720927493327</v>
      </c>
      <c r="AA43" s="44">
        <f ca="1">SUM($C42:AA42)</f>
        <v>48590.720927493327</v>
      </c>
      <c r="AB43" s="44">
        <f ca="1">SUM($C42:AB42)</f>
        <v>48590.720927493327</v>
      </c>
      <c r="AC43" s="44">
        <f ca="1">SUM($C42:AC42)</f>
        <v>48590.720927493327</v>
      </c>
      <c r="AD43" s="44">
        <f ca="1">SUM($C42:AD42)</f>
        <v>48590.720927493327</v>
      </c>
      <c r="AE43" s="44">
        <f ca="1">SUM($C42:AE42)</f>
        <v>48590.720927493327</v>
      </c>
      <c r="AF43" s="44">
        <f ca="1">SUM($C42:AF42)</f>
        <v>48590.720927493327</v>
      </c>
      <c r="AG43" s="44">
        <f ca="1">SUM($C42:AG42)</f>
        <v>48590.720927493327</v>
      </c>
      <c r="AH43" s="44">
        <f ca="1">SUM($C42:AH42)</f>
        <v>48590.720927493327</v>
      </c>
      <c r="AI43" s="44">
        <f ca="1">SUM($C42:AI42)</f>
        <v>48590.720927493327</v>
      </c>
      <c r="AJ43" s="44">
        <f ca="1">SUM($C42:AJ42)</f>
        <v>48590.720927493327</v>
      </c>
      <c r="AK43" s="44">
        <f ca="1">SUM($C42:AK42)</f>
        <v>48590.720927493327</v>
      </c>
      <c r="AL43" s="44">
        <f ca="1">SUM($C42:AL42)</f>
        <v>48590.720927493327</v>
      </c>
      <c r="AM43" s="44">
        <f ca="1">SUM($C42:AM42)</f>
        <v>48590.720927493327</v>
      </c>
      <c r="AN43" s="44">
        <f ca="1">SUM($C42:AN42)</f>
        <v>48590.720927493327</v>
      </c>
      <c r="AO43" s="44">
        <f ca="1">SUM($C42:AO42)</f>
        <v>48590.720927493327</v>
      </c>
      <c r="AP43" s="44">
        <f ca="1">SUM($C42:AP42)</f>
        <v>48590.720927493327</v>
      </c>
      <c r="AQ43" s="44">
        <f ca="1">SUM($C42:AQ42)</f>
        <v>48590.720927493327</v>
      </c>
      <c r="AR43" s="44">
        <f ca="1">SUM($C42:AR42)</f>
        <v>48590.720927493327</v>
      </c>
      <c r="AS43" s="44">
        <f ca="1">SUM($C42:AS42)</f>
        <v>48590.720927493327</v>
      </c>
      <c r="AT43" s="44">
        <f ca="1">SUM($C42:AT42)</f>
        <v>48590.720927493327</v>
      </c>
      <c r="AU43" s="44">
        <f ca="1">SUM($C42:AU42)</f>
        <v>48590.720927493327</v>
      </c>
      <c r="AV43" s="44">
        <f ca="1">SUM($C42:AV42)</f>
        <v>48590.720927493327</v>
      </c>
      <c r="AW43" s="44">
        <f ca="1">SUM($C42:AW42)</f>
        <v>48590.720927493327</v>
      </c>
      <c r="AX43" s="44">
        <f ca="1">SUM($C42:AX42)</f>
        <v>48590.720927493327</v>
      </c>
      <c r="AY43" s="44">
        <f ca="1">SUM($C42:AY42)</f>
        <v>48590.720927493327</v>
      </c>
      <c r="AZ43" s="44">
        <f ca="1">SUM($C42:AZ42)</f>
        <v>48590.720927493327</v>
      </c>
      <c r="BA43" s="44">
        <f ca="1">SUM($C42:BA42)</f>
        <v>48590.720927493327</v>
      </c>
      <c r="BB43" s="44">
        <f ca="1">SUM($C42:BB42)</f>
        <v>48590.720927493327</v>
      </c>
      <c r="BC43" s="44">
        <f ca="1">SUM($C42:BC42)</f>
        <v>48590.720927493327</v>
      </c>
      <c r="BD43" s="44">
        <f ca="1">SUM($C42:BD42)</f>
        <v>48590.720927493327</v>
      </c>
      <c r="BE43" s="44">
        <f ca="1">SUM($C42:BE42)</f>
        <v>48590.720927493327</v>
      </c>
      <c r="BF43" s="44">
        <f ca="1">SUM($C42:BF42)</f>
        <v>48590.720927493327</v>
      </c>
      <c r="BG43" s="44">
        <f ca="1">SUM($C42:BG42)</f>
        <v>48590.720927493327</v>
      </c>
      <c r="BH43" s="44">
        <f ca="1">SUM($C42:BH42)</f>
        <v>48590.720927493327</v>
      </c>
      <c r="BI43" s="44">
        <f ca="1">SUM($C42:BI42)</f>
        <v>48590.720927493327</v>
      </c>
      <c r="BJ43" s="44">
        <f ca="1">SUM($C42:BJ42)</f>
        <v>48590.720927493327</v>
      </c>
      <c r="BK43" s="44">
        <f ca="1">SUM($C42:BK42)</f>
        <v>48590.720927493327</v>
      </c>
      <c r="BL43" s="44">
        <f ca="1">SUM($C42:BL42)</f>
        <v>48590.720927493327</v>
      </c>
      <c r="BM43" s="44">
        <f ca="1">SUM($C42:BM42)</f>
        <v>48590.720927493327</v>
      </c>
      <c r="BN43" s="44">
        <f ca="1">SUM($C42:BN42)</f>
        <v>48590.720927493327</v>
      </c>
      <c r="BO43" s="44">
        <f ca="1">SUM($C42:BO42)</f>
        <v>48590.720927493327</v>
      </c>
      <c r="BP43" s="44">
        <f ca="1">SUM($C42:BP42)</f>
        <v>48590.720927493327</v>
      </c>
      <c r="BQ43" s="44">
        <f ca="1">SUM($C42:BQ42)</f>
        <v>48590.720927493327</v>
      </c>
      <c r="BR43" s="44">
        <f ca="1">SUM($C42:BR42)</f>
        <v>48590.720927493327</v>
      </c>
      <c r="BS43" s="44">
        <f ca="1">SUM($C42:BS42)</f>
        <v>48590.720927493327</v>
      </c>
      <c r="BT43" s="44">
        <f ca="1">SUM($C42:BT42)</f>
        <v>48590.720927493327</v>
      </c>
      <c r="BU43" s="44">
        <f ca="1">SUM($C42:BU42)</f>
        <v>48590.720927493327</v>
      </c>
      <c r="BV43" s="44">
        <f ca="1">SUM($C42:BV42)</f>
        <v>48590.720927493327</v>
      </c>
      <c r="BW43" s="44">
        <f ca="1">SUM($C42:BW42)</f>
        <v>48590.720927493327</v>
      </c>
      <c r="BX43" s="44">
        <f ca="1">SUM($C42:BX42)</f>
        <v>48590.720927493327</v>
      </c>
      <c r="BY43" s="44">
        <f ca="1">SUM($C42:BY42)</f>
        <v>48590.720927493327</v>
      </c>
      <c r="BZ43" s="44">
        <f ca="1">SUM($C42:BZ42)</f>
        <v>48590.720927493327</v>
      </c>
      <c r="CA43" s="44">
        <f ca="1">SUM($C42:CA42)</f>
        <v>48590.720927493327</v>
      </c>
      <c r="CB43" s="44">
        <f ca="1">SUM($C42:CB42)</f>
        <v>48590.720927493327</v>
      </c>
      <c r="CC43" s="44">
        <f ca="1">SUM($C42:CC42)</f>
        <v>48590.720927493327</v>
      </c>
      <c r="CD43" s="44">
        <f ca="1">SUM($C42:CD42)</f>
        <v>48590.720927493327</v>
      </c>
    </row>
    <row r="44" spans="1:85" x14ac:dyDescent="0.35">
      <c r="A44" s="27" t="s">
        <v>6</v>
      </c>
      <c r="C44" s="44">
        <f t="shared" ref="C44:AH44" ca="1" si="185">IF(C43&gt;0,C22,120)</f>
        <v>120</v>
      </c>
      <c r="D44" s="44">
        <f t="shared" ca="1" si="185"/>
        <v>120</v>
      </c>
      <c r="E44" s="44">
        <f t="shared" ca="1" si="185"/>
        <v>120</v>
      </c>
      <c r="F44" s="44">
        <f t="shared" ca="1" si="185"/>
        <v>3</v>
      </c>
      <c r="G44" s="44">
        <f t="shared" ca="1" si="185"/>
        <v>4</v>
      </c>
      <c r="H44" s="44">
        <f t="shared" ca="1" si="185"/>
        <v>5</v>
      </c>
      <c r="I44" s="44">
        <f t="shared" ca="1" si="185"/>
        <v>6</v>
      </c>
      <c r="J44" s="44">
        <f t="shared" ca="1" si="185"/>
        <v>7</v>
      </c>
      <c r="K44" s="44">
        <f t="shared" ca="1" si="185"/>
        <v>8</v>
      </c>
      <c r="L44" s="44">
        <f t="shared" ca="1" si="185"/>
        <v>9</v>
      </c>
      <c r="M44" s="44">
        <f t="shared" ca="1" si="185"/>
        <v>10</v>
      </c>
      <c r="N44" s="44">
        <f t="shared" ca="1" si="185"/>
        <v>11</v>
      </c>
      <c r="O44" s="44">
        <f t="shared" ca="1" si="185"/>
        <v>12</v>
      </c>
      <c r="P44" s="44">
        <f t="shared" ca="1" si="185"/>
        <v>13</v>
      </c>
      <c r="Q44" s="44">
        <f t="shared" ca="1" si="185"/>
        <v>14</v>
      </c>
      <c r="R44" s="44">
        <f t="shared" ca="1" si="185"/>
        <v>15</v>
      </c>
      <c r="S44" s="44">
        <f t="shared" ca="1" si="185"/>
        <v>16</v>
      </c>
      <c r="T44" s="44">
        <f t="shared" ca="1" si="185"/>
        <v>17</v>
      </c>
      <c r="U44" s="44">
        <f t="shared" ca="1" si="185"/>
        <v>18</v>
      </c>
      <c r="V44" s="44">
        <f t="shared" ca="1" si="185"/>
        <v>19</v>
      </c>
      <c r="W44" s="44">
        <f t="shared" ca="1" si="185"/>
        <v>20</v>
      </c>
      <c r="X44" s="44">
        <f t="shared" ca="1" si="185"/>
        <v>21</v>
      </c>
      <c r="Y44" s="44">
        <f t="shared" ca="1" si="185"/>
        <v>22</v>
      </c>
      <c r="Z44" s="44">
        <f t="shared" ca="1" si="185"/>
        <v>23</v>
      </c>
      <c r="AA44" s="44">
        <f t="shared" ca="1" si="185"/>
        <v>24</v>
      </c>
      <c r="AB44" s="44">
        <f t="shared" ca="1" si="185"/>
        <v>25</v>
      </c>
      <c r="AC44" s="44">
        <f t="shared" ca="1" si="185"/>
        <v>26</v>
      </c>
      <c r="AD44" s="44">
        <f t="shared" ca="1" si="185"/>
        <v>27</v>
      </c>
      <c r="AE44" s="44">
        <f t="shared" ca="1" si="185"/>
        <v>28</v>
      </c>
      <c r="AF44" s="44">
        <f t="shared" ca="1" si="185"/>
        <v>29</v>
      </c>
      <c r="AG44" s="44">
        <f t="shared" ca="1" si="185"/>
        <v>30</v>
      </c>
      <c r="AH44" s="44">
        <f t="shared" ca="1" si="185"/>
        <v>31</v>
      </c>
      <c r="AI44" s="44">
        <f t="shared" ref="AI44:BN44" ca="1" si="186">IF(AI43&gt;0,AI22,120)</f>
        <v>32</v>
      </c>
      <c r="AJ44" s="44">
        <f t="shared" ca="1" si="186"/>
        <v>33</v>
      </c>
      <c r="AK44" s="44">
        <f t="shared" ca="1" si="186"/>
        <v>34</v>
      </c>
      <c r="AL44" s="44">
        <f t="shared" ca="1" si="186"/>
        <v>35</v>
      </c>
      <c r="AM44" s="44">
        <f t="shared" ca="1" si="186"/>
        <v>36</v>
      </c>
      <c r="AN44" s="44">
        <f t="shared" ca="1" si="186"/>
        <v>37</v>
      </c>
      <c r="AO44" s="44">
        <f t="shared" ca="1" si="186"/>
        <v>38</v>
      </c>
      <c r="AP44" s="44">
        <f t="shared" ca="1" si="186"/>
        <v>39</v>
      </c>
      <c r="AQ44" s="44">
        <f t="shared" ca="1" si="186"/>
        <v>40</v>
      </c>
      <c r="AR44" s="44">
        <f t="shared" ca="1" si="186"/>
        <v>41</v>
      </c>
      <c r="AS44" s="44">
        <f t="shared" ca="1" si="186"/>
        <v>42</v>
      </c>
      <c r="AT44" s="44">
        <f t="shared" ca="1" si="186"/>
        <v>43</v>
      </c>
      <c r="AU44" s="44">
        <f t="shared" ca="1" si="186"/>
        <v>44</v>
      </c>
      <c r="AV44" s="44">
        <f t="shared" ca="1" si="186"/>
        <v>45</v>
      </c>
      <c r="AW44" s="44">
        <f t="shared" ca="1" si="186"/>
        <v>46</v>
      </c>
      <c r="AX44" s="44">
        <f t="shared" ca="1" si="186"/>
        <v>47</v>
      </c>
      <c r="AY44" s="44">
        <f t="shared" ca="1" si="186"/>
        <v>48</v>
      </c>
      <c r="AZ44" s="44">
        <f t="shared" ca="1" si="186"/>
        <v>49</v>
      </c>
      <c r="BA44" s="44">
        <f t="shared" ca="1" si="186"/>
        <v>50</v>
      </c>
      <c r="BB44" s="44">
        <f t="shared" ca="1" si="186"/>
        <v>51</v>
      </c>
      <c r="BC44" s="44">
        <f t="shared" ca="1" si="186"/>
        <v>52</v>
      </c>
      <c r="BD44" s="44">
        <f t="shared" ca="1" si="186"/>
        <v>53</v>
      </c>
      <c r="BE44" s="44">
        <f t="shared" ca="1" si="186"/>
        <v>54</v>
      </c>
      <c r="BF44" s="44">
        <f t="shared" ca="1" si="186"/>
        <v>55</v>
      </c>
      <c r="BG44" s="44">
        <f t="shared" ca="1" si="186"/>
        <v>56</v>
      </c>
      <c r="BH44" s="44">
        <f t="shared" ca="1" si="186"/>
        <v>57</v>
      </c>
      <c r="BI44" s="44">
        <f t="shared" ca="1" si="186"/>
        <v>58</v>
      </c>
      <c r="BJ44" s="44">
        <f t="shared" ca="1" si="186"/>
        <v>59</v>
      </c>
      <c r="BK44" s="44">
        <f t="shared" ca="1" si="186"/>
        <v>60</v>
      </c>
      <c r="BL44" s="44">
        <f t="shared" ca="1" si="186"/>
        <v>61</v>
      </c>
      <c r="BM44" s="44">
        <f t="shared" ca="1" si="186"/>
        <v>62</v>
      </c>
      <c r="BN44" s="44">
        <f t="shared" ca="1" si="186"/>
        <v>63</v>
      </c>
      <c r="BO44" s="44">
        <f t="shared" ref="BO44:CD44" ca="1" si="187">IF(BO43&gt;0,BO22,120)</f>
        <v>64</v>
      </c>
      <c r="BP44" s="44">
        <f t="shared" ca="1" si="187"/>
        <v>65</v>
      </c>
      <c r="BQ44" s="44">
        <f t="shared" ca="1" si="187"/>
        <v>66</v>
      </c>
      <c r="BR44" s="44">
        <f t="shared" ca="1" si="187"/>
        <v>67</v>
      </c>
      <c r="BS44" s="44">
        <f t="shared" ca="1" si="187"/>
        <v>68</v>
      </c>
      <c r="BT44" s="44">
        <f t="shared" ca="1" si="187"/>
        <v>69</v>
      </c>
      <c r="BU44" s="44">
        <f t="shared" ca="1" si="187"/>
        <v>70</v>
      </c>
      <c r="BV44" s="44">
        <f t="shared" ca="1" si="187"/>
        <v>71</v>
      </c>
      <c r="BW44" s="44">
        <f t="shared" ca="1" si="187"/>
        <v>72</v>
      </c>
      <c r="BX44" s="44">
        <f t="shared" ca="1" si="187"/>
        <v>73</v>
      </c>
      <c r="BY44" s="44">
        <f t="shared" ca="1" si="187"/>
        <v>74</v>
      </c>
      <c r="BZ44" s="44">
        <f t="shared" ca="1" si="187"/>
        <v>75</v>
      </c>
      <c r="CA44" s="44">
        <f t="shared" ca="1" si="187"/>
        <v>76</v>
      </c>
      <c r="CB44" s="44">
        <f t="shared" ca="1" si="187"/>
        <v>77</v>
      </c>
      <c r="CC44" s="44">
        <f t="shared" ca="1" si="187"/>
        <v>78</v>
      </c>
      <c r="CD44" s="44">
        <f t="shared" ca="1" si="187"/>
        <v>79</v>
      </c>
    </row>
  </sheetData>
  <dataConsolidate/>
  <phoneticPr fontId="6" type="noConversion"/>
  <conditionalFormatting sqref="B8">
    <cfRule type="cellIs" dxfId="5" priority="10" stopIfTrue="1" operator="lessThan">
      <formula>0.1</formula>
    </cfRule>
  </conditionalFormatting>
  <conditionalFormatting sqref="B10:B13">
    <cfRule type="cellIs" dxfId="4" priority="5" stopIfTrue="1" operator="lessThan">
      <formula>0</formula>
    </cfRule>
  </conditionalFormatting>
  <conditionalFormatting sqref="B12:B13">
    <cfRule type="cellIs" dxfId="3" priority="6" stopIfTrue="1" operator="lessThan">
      <formula>0.1</formula>
    </cfRule>
  </conditionalFormatting>
  <conditionalFormatting sqref="C25:CD38">
    <cfRule type="cellIs" dxfId="2" priority="3" operator="lessThan">
      <formula>0.01</formula>
    </cfRule>
  </conditionalFormatting>
  <conditionalFormatting sqref="C25:CD44">
    <cfRule type="cellIs" dxfId="1" priority="2" operator="lessThan">
      <formula>0</formula>
    </cfRule>
  </conditionalFormatting>
  <conditionalFormatting sqref="CG25:CG38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&amp;L_x000D_&amp;1#&amp;"Calibri"&amp;7&amp;K000000 ***Este documento está clasificado como USO INTERNO por TELEFÓNICA.
***This document is classified as INTERNAL USE by TELEFÓNICA.</oddFooter>
  </headerFooter>
</worksheet>
</file>

<file path=docMetadata/LabelInfo.xml><?xml version="1.0" encoding="utf-8"?>
<clbl:labelList xmlns:clbl="http://schemas.microsoft.com/office/2020/mipLabelMetadata">
  <clbl:label id="{f27cb1b6-4159-4a38-a94b-cbd1c10c7376}" enabled="1" method="Standard" siteId="{9744600e-3e04-492e-baa1-25ec245c6f10}" removed="0"/>
  <clbl:label id="{f2d7d6c5-1bee-41ff-9e79-b372a5cce71d}" enabled="0" method="" siteId="{f2d7d6c5-1bee-41ff-9e79-b372a5cce7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Baptista De Souza</dc:creator>
  <cp:lastModifiedBy>Fabio Baptista De Souza</cp:lastModifiedBy>
  <dcterms:created xsi:type="dcterms:W3CDTF">2025-11-03T19:06:16Z</dcterms:created>
  <dcterms:modified xsi:type="dcterms:W3CDTF">2025-12-30T17:30:53Z</dcterms:modified>
</cp:coreProperties>
</file>